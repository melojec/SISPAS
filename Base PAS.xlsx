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0 ASPLAN\ASPLAN_2026\RDQA\"/>
    </mc:Choice>
  </mc:AlternateContent>
  <xr:revisionPtr revIDLastSave="0" documentId="13_ncr:1_{17FBE817-E974-41E1-9D4F-643DC67E3FD2}" xr6:coauthVersionLast="47" xr6:coauthVersionMax="47" xr10:uidLastSave="{00000000-0000-0000-0000-000000000000}"/>
  <bookViews>
    <workbookView xWindow="-120" yWindow="-120" windowWidth="29040" windowHeight="16440" tabRatio="571" activeTab="2" xr2:uid="{27852ACE-A471-4F39-8B3A-E8EC19D7F6D6}"/>
  </bookViews>
  <sheets>
    <sheet name="Diretriz" sheetId="2" r:id="rId1"/>
    <sheet name="Objetivo" sheetId="3" r:id="rId2"/>
    <sheet name="Meta" sheetId="13" r:id="rId3"/>
    <sheet name="Atividade" sheetId="5" r:id="rId4"/>
    <sheet name="(misc) bot de cod mun" sheetId="12" state="hidden" r:id="rId5"/>
  </sheets>
  <definedNames>
    <definedName name="_xlnm._FilterDatabase" localSheetId="4" hidden="1">'(misc) bot de cod mun'!$A$3:$C$221</definedName>
    <definedName name="_xlnm._FilterDatabase" localSheetId="3" hidden="1">Atividade!$A$1:$M$349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6" i="5" l="1"/>
  <c r="F665" i="5" l="1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B221" i="12" l="1"/>
  <c r="C6" i="12"/>
  <c r="C7" i="12"/>
  <c r="C9" i="12"/>
  <c r="C10" i="12"/>
  <c r="C11" i="12"/>
  <c r="C13" i="12"/>
  <c r="C15" i="12"/>
  <c r="C16" i="12"/>
  <c r="C17" i="12"/>
  <c r="C18" i="12"/>
  <c r="C19" i="12"/>
  <c r="C20" i="12"/>
  <c r="C21" i="12"/>
  <c r="C22" i="12"/>
  <c r="C25" i="12"/>
  <c r="C26" i="12"/>
  <c r="C28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5" i="12"/>
  <c r="C46" i="12"/>
  <c r="C47" i="12"/>
  <c r="C48" i="12"/>
  <c r="C49" i="12"/>
  <c r="C50" i="12"/>
  <c r="C51" i="12"/>
  <c r="C52" i="12"/>
  <c r="C54" i="12"/>
  <c r="C56" i="12"/>
  <c r="C57" i="12"/>
  <c r="C58" i="12"/>
  <c r="C59" i="12"/>
  <c r="C65" i="12"/>
  <c r="C67" i="12"/>
  <c r="C68" i="12"/>
  <c r="C71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8" i="12"/>
  <c r="C89" i="12"/>
  <c r="C90" i="12"/>
  <c r="C91" i="12"/>
  <c r="C92" i="12"/>
  <c r="C94" i="12"/>
  <c r="C95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7" i="12"/>
  <c r="C139" i="12"/>
  <c r="C140" i="12"/>
  <c r="C141" i="12"/>
  <c r="C142" i="12"/>
  <c r="C143" i="12"/>
  <c r="C144" i="12"/>
  <c r="C146" i="12"/>
  <c r="C148" i="12"/>
  <c r="C149" i="12"/>
  <c r="C150" i="12"/>
  <c r="C152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1" i="12"/>
  <c r="C172" i="12"/>
  <c r="C173" i="12"/>
  <c r="C174" i="12"/>
  <c r="C175" i="12"/>
  <c r="C176" i="12"/>
  <c r="C177" i="12"/>
  <c r="C179" i="12"/>
  <c r="C180" i="12"/>
  <c r="C182" i="12"/>
  <c r="C183" i="12"/>
  <c r="C184" i="12"/>
  <c r="C185" i="12"/>
  <c r="C188" i="12"/>
  <c r="C190" i="12"/>
  <c r="C191" i="12"/>
  <c r="C193" i="12"/>
  <c r="C195" i="12"/>
  <c r="C196" i="12"/>
  <c r="C197" i="12"/>
  <c r="C198" i="12"/>
  <c r="C199" i="12"/>
  <c r="C200" i="12"/>
  <c r="C201" i="12"/>
  <c r="C203" i="12"/>
  <c r="C204" i="12"/>
  <c r="C205" i="12"/>
  <c r="C208" i="12"/>
  <c r="C209" i="12"/>
  <c r="C211" i="12"/>
  <c r="C212" i="12"/>
  <c r="C213" i="12"/>
  <c r="C214" i="12"/>
  <c r="C215" i="12"/>
  <c r="C216" i="12"/>
  <c r="C218" i="12"/>
  <c r="C219" i="12"/>
  <c r="C220" i="12"/>
  <c r="C221" i="12"/>
  <c r="C5" i="12" l="1"/>
  <c r="C192" i="12"/>
  <c r="C136" i="12"/>
  <c r="C96" i="12"/>
  <c r="C72" i="12"/>
  <c r="C64" i="12"/>
  <c r="C60" i="12"/>
  <c r="C44" i="12"/>
  <c r="C24" i="12"/>
  <c r="C12" i="12"/>
  <c r="C8" i="12"/>
  <c r="C207" i="12"/>
  <c r="C187" i="12"/>
  <c r="C151" i="12"/>
  <c r="C147" i="12"/>
  <c r="C87" i="12"/>
  <c r="C63" i="12"/>
  <c r="C55" i="12"/>
  <c r="C43" i="12"/>
  <c r="C27" i="12"/>
  <c r="C23" i="12"/>
  <c r="C4" i="12"/>
  <c r="C210" i="12"/>
  <c r="C206" i="12"/>
  <c r="C202" i="12"/>
  <c r="C194" i="12"/>
  <c r="C186" i="12"/>
  <c r="C178" i="12"/>
  <c r="C170" i="12"/>
  <c r="C138" i="12"/>
  <c r="C118" i="12"/>
  <c r="C70" i="12"/>
  <c r="C66" i="12"/>
  <c r="C62" i="12"/>
  <c r="C42" i="12"/>
  <c r="C14" i="12"/>
  <c r="C217" i="12"/>
  <c r="C189" i="12"/>
  <c r="C181" i="12"/>
  <c r="C153" i="12"/>
  <c r="C145" i="12"/>
  <c r="C93" i="12"/>
  <c r="C69" i="12"/>
  <c r="C61" i="12"/>
  <c r="C53" i="12"/>
  <c r="C29" i="12"/>
  <c r="F349" i="5"/>
  <c r="D349" i="5"/>
  <c r="B349" i="5"/>
  <c r="F348" i="5"/>
  <c r="D348" i="5"/>
  <c r="B348" i="5"/>
  <c r="F347" i="5"/>
  <c r="D347" i="5"/>
  <c r="B347" i="5"/>
  <c r="F346" i="5"/>
  <c r="D346" i="5"/>
  <c r="B346" i="5"/>
  <c r="F345" i="5"/>
  <c r="D345" i="5"/>
  <c r="B345" i="5"/>
  <c r="F344" i="5"/>
  <c r="D344" i="5"/>
  <c r="B344" i="5"/>
  <c r="F343" i="5"/>
  <c r="D343" i="5"/>
  <c r="B343" i="5"/>
  <c r="F342" i="5"/>
  <c r="D342" i="5"/>
  <c r="B342" i="5"/>
  <c r="F341" i="5"/>
  <c r="D341" i="5"/>
  <c r="B341" i="5"/>
  <c r="F340" i="5"/>
  <c r="D340" i="5"/>
  <c r="B340" i="5"/>
  <c r="F339" i="5"/>
  <c r="D339" i="5"/>
  <c r="B339" i="5"/>
  <c r="F338" i="5"/>
  <c r="D338" i="5"/>
  <c r="B338" i="5"/>
  <c r="F337" i="5"/>
  <c r="D337" i="5"/>
  <c r="B337" i="5"/>
  <c r="F336" i="5"/>
  <c r="D336" i="5"/>
  <c r="B336" i="5"/>
  <c r="F335" i="5"/>
  <c r="D335" i="5"/>
  <c r="B335" i="5"/>
  <c r="F334" i="5"/>
  <c r="D334" i="5"/>
  <c r="B334" i="5"/>
  <c r="F333" i="5"/>
  <c r="D333" i="5"/>
  <c r="B333" i="5"/>
  <c r="F332" i="5"/>
  <c r="D332" i="5"/>
  <c r="B332" i="5"/>
  <c r="F331" i="5"/>
  <c r="D331" i="5"/>
  <c r="B331" i="5"/>
  <c r="F330" i="5"/>
  <c r="D330" i="5"/>
  <c r="B330" i="5"/>
  <c r="F329" i="5"/>
  <c r="D329" i="5"/>
  <c r="B329" i="5"/>
  <c r="F328" i="5"/>
  <c r="D328" i="5"/>
  <c r="B328" i="5"/>
  <c r="F327" i="5"/>
  <c r="D327" i="5"/>
  <c r="B327" i="5"/>
  <c r="F326" i="5"/>
  <c r="D326" i="5"/>
  <c r="B326" i="5"/>
  <c r="F325" i="5"/>
  <c r="D325" i="5"/>
  <c r="B325" i="5"/>
  <c r="F324" i="5"/>
  <c r="D324" i="5"/>
  <c r="B324" i="5"/>
  <c r="F323" i="5"/>
  <c r="D323" i="5"/>
  <c r="B323" i="5"/>
  <c r="F322" i="5"/>
  <c r="D322" i="5"/>
  <c r="B322" i="5"/>
  <c r="F321" i="5"/>
  <c r="D321" i="5"/>
  <c r="B321" i="5"/>
  <c r="F320" i="5"/>
  <c r="D320" i="5"/>
  <c r="B320" i="5"/>
  <c r="F319" i="5"/>
  <c r="D319" i="5"/>
  <c r="B319" i="5"/>
  <c r="F318" i="5"/>
  <c r="D318" i="5"/>
  <c r="B318" i="5"/>
  <c r="F317" i="5"/>
  <c r="D317" i="5"/>
  <c r="B317" i="5"/>
  <c r="F316" i="5"/>
  <c r="D316" i="5"/>
  <c r="B316" i="5"/>
  <c r="F315" i="5"/>
  <c r="D315" i="5"/>
  <c r="B315" i="5"/>
  <c r="F314" i="5"/>
  <c r="D314" i="5"/>
  <c r="B314" i="5"/>
  <c r="F313" i="5"/>
  <c r="D313" i="5"/>
  <c r="B313" i="5"/>
  <c r="F312" i="5"/>
  <c r="D312" i="5"/>
  <c r="B312" i="5"/>
  <c r="F311" i="5"/>
  <c r="D311" i="5"/>
  <c r="B311" i="5"/>
  <c r="F310" i="5"/>
  <c r="D310" i="5"/>
  <c r="B310" i="5"/>
  <c r="D309" i="5"/>
  <c r="B309" i="5"/>
  <c r="D308" i="5"/>
  <c r="B308" i="5"/>
  <c r="D307" i="5"/>
  <c r="B307" i="5"/>
  <c r="D306" i="5"/>
  <c r="B306" i="5"/>
  <c r="D305" i="5"/>
  <c r="B305" i="5"/>
  <c r="D304" i="5"/>
  <c r="B304" i="5"/>
  <c r="D303" i="5"/>
  <c r="B303" i="5"/>
  <c r="D302" i="5"/>
  <c r="B302" i="5"/>
  <c r="D301" i="5"/>
  <c r="B301" i="5"/>
  <c r="D300" i="5"/>
  <c r="B300" i="5"/>
  <c r="D299" i="5"/>
  <c r="B299" i="5"/>
  <c r="D298" i="5"/>
  <c r="B298" i="5"/>
  <c r="D297" i="5"/>
  <c r="B297" i="5"/>
  <c r="D296" i="5"/>
  <c r="B296" i="5"/>
  <c r="D295" i="5"/>
  <c r="B295" i="5"/>
  <c r="D294" i="5"/>
  <c r="B294" i="5"/>
  <c r="D293" i="5"/>
  <c r="B293" i="5"/>
  <c r="D292" i="5"/>
  <c r="B292" i="5"/>
  <c r="D291" i="5"/>
  <c r="B291" i="5"/>
  <c r="D290" i="5"/>
  <c r="B290" i="5"/>
  <c r="D289" i="5"/>
  <c r="B289" i="5"/>
  <c r="D288" i="5"/>
  <c r="B288" i="5"/>
  <c r="D287" i="5"/>
  <c r="B287" i="5"/>
  <c r="D286" i="5"/>
  <c r="B286" i="5"/>
  <c r="D285" i="5"/>
  <c r="B285" i="5"/>
  <c r="D284" i="5"/>
  <c r="B284" i="5"/>
  <c r="D283" i="5"/>
  <c r="B283" i="5"/>
  <c r="D282" i="5"/>
  <c r="B282" i="5"/>
  <c r="D281" i="5"/>
  <c r="B281" i="5"/>
  <c r="D280" i="5"/>
  <c r="B280" i="5"/>
  <c r="D279" i="5"/>
  <c r="B279" i="5"/>
  <c r="D278" i="5"/>
  <c r="B278" i="5"/>
  <c r="F245" i="5"/>
  <c r="D245" i="5"/>
  <c r="B245" i="5"/>
  <c r="F244" i="5"/>
  <c r="D244" i="5"/>
  <c r="B244" i="5"/>
  <c r="F243" i="5"/>
  <c r="D243" i="5"/>
  <c r="B243" i="5"/>
  <c r="F242" i="5"/>
  <c r="D242" i="5"/>
  <c r="B242" i="5"/>
  <c r="F241" i="5"/>
  <c r="D241" i="5"/>
  <c r="B241" i="5"/>
  <c r="F240" i="5"/>
  <c r="D240" i="5"/>
  <c r="B240" i="5"/>
  <c r="F239" i="5"/>
  <c r="D239" i="5"/>
  <c r="B239" i="5"/>
  <c r="F238" i="5"/>
  <c r="D238" i="5"/>
  <c r="B238" i="5"/>
  <c r="F237" i="5"/>
  <c r="D237" i="5"/>
  <c r="B237" i="5"/>
  <c r="F236" i="5"/>
  <c r="D236" i="5"/>
  <c r="B236" i="5"/>
  <c r="F235" i="5"/>
  <c r="D235" i="5"/>
  <c r="B235" i="5"/>
  <c r="F234" i="5"/>
  <c r="D234" i="5"/>
  <c r="B234" i="5"/>
  <c r="F233" i="5"/>
  <c r="D233" i="5"/>
  <c r="B233" i="5"/>
  <c r="F232" i="5"/>
  <c r="D232" i="5"/>
  <c r="B232" i="5"/>
  <c r="F231" i="5"/>
  <c r="D231" i="5"/>
  <c r="B231" i="5"/>
  <c r="F230" i="5"/>
  <c r="D230" i="5"/>
  <c r="B230" i="5"/>
  <c r="F229" i="5"/>
  <c r="D229" i="5"/>
  <c r="B229" i="5"/>
  <c r="F228" i="5"/>
  <c r="D228" i="5"/>
  <c r="B228" i="5"/>
  <c r="F227" i="5"/>
  <c r="D227" i="5"/>
  <c r="B227" i="5"/>
  <c r="F226" i="5"/>
  <c r="D226" i="5"/>
  <c r="B226" i="5"/>
  <c r="F225" i="5"/>
  <c r="D225" i="5"/>
  <c r="B225" i="5"/>
  <c r="F224" i="5"/>
  <c r="D224" i="5"/>
  <c r="B224" i="5"/>
  <c r="F223" i="5"/>
  <c r="D223" i="5"/>
  <c r="B223" i="5"/>
  <c r="F222" i="5"/>
  <c r="D222" i="5"/>
  <c r="B222" i="5"/>
  <c r="F221" i="5"/>
  <c r="D221" i="5"/>
  <c r="B221" i="5"/>
  <c r="F220" i="5"/>
  <c r="D220" i="5"/>
  <c r="B220" i="5"/>
  <c r="F219" i="5"/>
  <c r="D219" i="5"/>
  <c r="B219" i="5"/>
  <c r="F218" i="5"/>
  <c r="D218" i="5"/>
  <c r="B218" i="5"/>
  <c r="F217" i="5"/>
  <c r="D217" i="5"/>
  <c r="B217" i="5"/>
  <c r="F216" i="5"/>
  <c r="D216" i="5"/>
  <c r="B216" i="5"/>
  <c r="F215" i="5"/>
  <c r="D215" i="5"/>
  <c r="B215" i="5"/>
  <c r="F214" i="5"/>
  <c r="D214" i="5"/>
  <c r="B214" i="5"/>
  <c r="F213" i="5"/>
  <c r="D213" i="5"/>
  <c r="B213" i="5"/>
  <c r="F212" i="5"/>
  <c r="D212" i="5"/>
  <c r="B212" i="5"/>
  <c r="F211" i="5"/>
  <c r="D211" i="5"/>
  <c r="B211" i="5"/>
  <c r="F210" i="5"/>
  <c r="D210" i="5"/>
  <c r="B210" i="5"/>
  <c r="F209" i="5"/>
  <c r="D209" i="5"/>
  <c r="B209" i="5"/>
  <c r="F208" i="5"/>
  <c r="D208" i="5"/>
  <c r="B208" i="5"/>
  <c r="F207" i="5"/>
  <c r="D207" i="5"/>
  <c r="B207" i="5"/>
  <c r="F206" i="5"/>
  <c r="D206" i="5"/>
  <c r="B206" i="5"/>
  <c r="F205" i="5"/>
  <c r="D205" i="5"/>
  <c r="B205" i="5"/>
  <c r="F204" i="5"/>
  <c r="D204" i="5"/>
  <c r="B204" i="5"/>
  <c r="F203" i="5"/>
  <c r="D203" i="5"/>
  <c r="B203" i="5"/>
  <c r="F202" i="5"/>
  <c r="D202" i="5"/>
  <c r="B202" i="5"/>
  <c r="F201" i="5"/>
  <c r="D201" i="5"/>
  <c r="B201" i="5"/>
  <c r="F200" i="5"/>
  <c r="D200" i="5"/>
  <c r="B200" i="5"/>
  <c r="F199" i="5"/>
  <c r="D199" i="5"/>
  <c r="B199" i="5"/>
  <c r="F198" i="5"/>
  <c r="D198" i="5"/>
  <c r="B198" i="5"/>
  <c r="F197" i="5"/>
  <c r="D197" i="5"/>
  <c r="B197" i="5"/>
  <c r="F196" i="5"/>
  <c r="D196" i="5"/>
  <c r="B196" i="5"/>
  <c r="F195" i="5"/>
  <c r="D195" i="5"/>
  <c r="B195" i="5"/>
  <c r="F194" i="5"/>
  <c r="D194" i="5"/>
  <c r="B194" i="5"/>
  <c r="F193" i="5"/>
  <c r="D193" i="5"/>
  <c r="B193" i="5"/>
  <c r="F192" i="5"/>
  <c r="D192" i="5"/>
  <c r="B192" i="5"/>
  <c r="F191" i="5"/>
  <c r="D191" i="5"/>
  <c r="B191" i="5"/>
  <c r="F190" i="5"/>
  <c r="D190" i="5"/>
  <c r="B190" i="5"/>
  <c r="F189" i="5"/>
  <c r="D189" i="5"/>
  <c r="B189" i="5"/>
  <c r="F188" i="5"/>
  <c r="D188" i="5"/>
  <c r="B188" i="5"/>
  <c r="F187" i="5"/>
  <c r="D187" i="5"/>
  <c r="B187" i="5"/>
  <c r="F186" i="5"/>
  <c r="D186" i="5"/>
  <c r="B186" i="5"/>
  <c r="F185" i="5"/>
  <c r="D185" i="5"/>
  <c r="B185" i="5"/>
  <c r="F184" i="5"/>
  <c r="D184" i="5"/>
  <c r="B184" i="5"/>
  <c r="F183" i="5"/>
  <c r="D183" i="5"/>
  <c r="B183" i="5"/>
  <c r="F182" i="5"/>
  <c r="D182" i="5"/>
  <c r="B182" i="5"/>
  <c r="F181" i="5"/>
  <c r="D181" i="5"/>
  <c r="B181" i="5"/>
  <c r="F180" i="5"/>
  <c r="D180" i="5"/>
  <c r="B180" i="5"/>
  <c r="F179" i="5"/>
  <c r="D179" i="5"/>
  <c r="B179" i="5"/>
  <c r="F178" i="5"/>
  <c r="D178" i="5"/>
  <c r="B178" i="5"/>
  <c r="F177" i="5"/>
  <c r="D177" i="5"/>
  <c r="B177" i="5"/>
  <c r="F176" i="5"/>
  <c r="D176" i="5"/>
  <c r="B176" i="5"/>
  <c r="F175" i="5"/>
  <c r="D175" i="5"/>
  <c r="B175" i="5"/>
  <c r="F174" i="5"/>
  <c r="D174" i="5"/>
  <c r="B174" i="5"/>
  <c r="F173" i="5"/>
  <c r="D173" i="5"/>
  <c r="B173" i="5"/>
  <c r="F172" i="5"/>
  <c r="D172" i="5"/>
  <c r="B172" i="5"/>
  <c r="F171" i="5"/>
  <c r="D171" i="5"/>
  <c r="B171" i="5"/>
  <c r="F170" i="5"/>
  <c r="D170" i="5"/>
  <c r="B170" i="5"/>
  <c r="F169" i="5"/>
  <c r="D169" i="5"/>
  <c r="B169" i="5"/>
  <c r="F168" i="5"/>
  <c r="D168" i="5"/>
  <c r="B168" i="5"/>
  <c r="F167" i="5"/>
  <c r="D167" i="5"/>
  <c r="B167" i="5"/>
  <c r="F166" i="5"/>
  <c r="D166" i="5"/>
  <c r="B166" i="5"/>
  <c r="F165" i="5"/>
  <c r="D165" i="5"/>
  <c r="B165" i="5"/>
  <c r="F164" i="5"/>
  <c r="D164" i="5"/>
  <c r="B164" i="5"/>
  <c r="F163" i="5"/>
  <c r="D163" i="5"/>
  <c r="B163" i="5"/>
  <c r="F162" i="5"/>
  <c r="D162" i="5"/>
  <c r="B162" i="5"/>
  <c r="F161" i="5"/>
  <c r="D161" i="5"/>
  <c r="B161" i="5"/>
  <c r="F160" i="5"/>
  <c r="D160" i="5"/>
  <c r="B160" i="5"/>
  <c r="F159" i="5"/>
  <c r="D159" i="5"/>
  <c r="B159" i="5"/>
  <c r="F158" i="5"/>
  <c r="D158" i="5"/>
  <c r="B158" i="5"/>
  <c r="F157" i="5"/>
  <c r="D157" i="5"/>
  <c r="B157" i="5"/>
  <c r="F156" i="5"/>
  <c r="D156" i="5"/>
  <c r="B156" i="5"/>
  <c r="F155" i="5"/>
  <c r="D155" i="5"/>
  <c r="B155" i="5"/>
  <c r="F154" i="5"/>
  <c r="D154" i="5"/>
  <c r="B154" i="5"/>
  <c r="F153" i="5"/>
  <c r="D153" i="5"/>
  <c r="B153" i="5"/>
  <c r="F152" i="5"/>
  <c r="D152" i="5"/>
  <c r="B152" i="5"/>
  <c r="F151" i="5"/>
  <c r="D151" i="5"/>
  <c r="B151" i="5"/>
  <c r="F150" i="5"/>
  <c r="D150" i="5"/>
  <c r="B150" i="5"/>
  <c r="F149" i="5"/>
  <c r="D149" i="5"/>
  <c r="B149" i="5"/>
  <c r="F148" i="5"/>
  <c r="D148" i="5"/>
  <c r="B148" i="5"/>
  <c r="F147" i="5"/>
  <c r="D147" i="5"/>
  <c r="B147" i="5"/>
  <c r="F146" i="5"/>
  <c r="D146" i="5"/>
  <c r="B146" i="5"/>
  <c r="F145" i="5"/>
  <c r="D145" i="5"/>
  <c r="B145" i="5"/>
  <c r="F144" i="5"/>
  <c r="D144" i="5"/>
  <c r="B144" i="5"/>
  <c r="F143" i="5"/>
  <c r="D143" i="5"/>
  <c r="B143" i="5"/>
  <c r="F142" i="5"/>
  <c r="D142" i="5"/>
  <c r="B142" i="5"/>
  <c r="F141" i="5"/>
  <c r="D141" i="5"/>
  <c r="B141" i="5"/>
  <c r="F140" i="5"/>
  <c r="D140" i="5"/>
  <c r="B140" i="5"/>
  <c r="F139" i="5"/>
  <c r="D139" i="5"/>
  <c r="B139" i="5"/>
  <c r="F138" i="5"/>
  <c r="D138" i="5"/>
  <c r="B138" i="5"/>
  <c r="F137" i="5"/>
  <c r="D137" i="5"/>
  <c r="B137" i="5"/>
  <c r="F136" i="5"/>
  <c r="D136" i="5"/>
  <c r="B136" i="5"/>
  <c r="F135" i="5"/>
  <c r="D135" i="5"/>
  <c r="B135" i="5"/>
  <c r="F134" i="5"/>
  <c r="D134" i="5"/>
  <c r="B134" i="5"/>
  <c r="F133" i="5"/>
  <c r="D133" i="5"/>
  <c r="B133" i="5"/>
  <c r="F132" i="5"/>
  <c r="D132" i="5"/>
  <c r="B132" i="5"/>
  <c r="F131" i="5"/>
  <c r="D131" i="5"/>
  <c r="B131" i="5"/>
  <c r="F130" i="5"/>
  <c r="D130" i="5"/>
  <c r="B130" i="5"/>
  <c r="F129" i="5"/>
  <c r="D129" i="5"/>
  <c r="B129" i="5"/>
  <c r="F128" i="5"/>
  <c r="D128" i="5"/>
  <c r="B128" i="5"/>
  <c r="F127" i="5"/>
  <c r="D127" i="5"/>
  <c r="B127" i="5"/>
  <c r="F126" i="5"/>
  <c r="D126" i="5"/>
  <c r="B126" i="5"/>
  <c r="F125" i="5"/>
  <c r="D125" i="5"/>
  <c r="B125" i="5"/>
  <c r="F124" i="5"/>
  <c r="D124" i="5"/>
  <c r="B124" i="5"/>
  <c r="F123" i="5"/>
  <c r="D123" i="5"/>
  <c r="B123" i="5"/>
  <c r="F122" i="5"/>
  <c r="D122" i="5"/>
  <c r="B122" i="5"/>
  <c r="F121" i="5"/>
  <c r="D121" i="5"/>
  <c r="B121" i="5"/>
  <c r="F120" i="5"/>
  <c r="D120" i="5"/>
  <c r="B120" i="5"/>
  <c r="F119" i="5"/>
  <c r="D119" i="5"/>
  <c r="B119" i="5"/>
  <c r="F118" i="5"/>
  <c r="D118" i="5"/>
  <c r="B118" i="5"/>
  <c r="F117" i="5"/>
  <c r="D117" i="5"/>
  <c r="B117" i="5"/>
  <c r="F116" i="5"/>
  <c r="D116" i="5"/>
  <c r="B116" i="5"/>
  <c r="F115" i="5"/>
  <c r="D115" i="5"/>
  <c r="B115" i="5"/>
  <c r="F114" i="5"/>
  <c r="D114" i="5"/>
  <c r="B114" i="5"/>
  <c r="F113" i="5"/>
  <c r="D113" i="5"/>
  <c r="B113" i="5"/>
  <c r="F112" i="5"/>
  <c r="D112" i="5"/>
  <c r="B112" i="5"/>
  <c r="F111" i="5"/>
  <c r="D111" i="5"/>
  <c r="B111" i="5"/>
  <c r="F110" i="5"/>
  <c r="D110" i="5"/>
  <c r="B110" i="5"/>
  <c r="F109" i="5"/>
  <c r="D109" i="5"/>
  <c r="B109" i="5"/>
  <c r="F108" i="5"/>
  <c r="D108" i="5"/>
  <c r="B108" i="5"/>
  <c r="F107" i="5"/>
  <c r="D107" i="5"/>
  <c r="B107" i="5"/>
  <c r="F106" i="5"/>
  <c r="D106" i="5"/>
  <c r="B106" i="5"/>
  <c r="F105" i="5"/>
  <c r="D105" i="5"/>
  <c r="B105" i="5"/>
  <c r="F104" i="5"/>
  <c r="D104" i="5"/>
  <c r="B104" i="5"/>
  <c r="F103" i="5"/>
  <c r="D103" i="5"/>
  <c r="B103" i="5"/>
  <c r="F102" i="5"/>
  <c r="D102" i="5"/>
  <c r="B102" i="5"/>
  <c r="F101" i="5"/>
  <c r="D101" i="5"/>
  <c r="B101" i="5"/>
  <c r="F100" i="5"/>
  <c r="D100" i="5"/>
  <c r="B100" i="5"/>
  <c r="F99" i="5"/>
  <c r="D99" i="5"/>
  <c r="B99" i="5"/>
  <c r="F98" i="5"/>
  <c r="D98" i="5"/>
  <c r="B98" i="5"/>
  <c r="F97" i="5"/>
  <c r="D97" i="5"/>
  <c r="B97" i="5"/>
  <c r="F96" i="5"/>
  <c r="D96" i="5"/>
  <c r="B96" i="5"/>
  <c r="F95" i="5"/>
  <c r="D95" i="5"/>
  <c r="B95" i="5"/>
  <c r="F94" i="5"/>
  <c r="D94" i="5"/>
  <c r="B94" i="5"/>
  <c r="F93" i="5"/>
  <c r="D93" i="5"/>
  <c r="B93" i="5"/>
  <c r="F92" i="5"/>
  <c r="D92" i="5"/>
  <c r="B92" i="5"/>
  <c r="F91" i="5"/>
  <c r="D91" i="5"/>
  <c r="B91" i="5"/>
  <c r="F90" i="5"/>
  <c r="D90" i="5"/>
  <c r="B90" i="5"/>
  <c r="F89" i="5"/>
  <c r="D89" i="5"/>
  <c r="B89" i="5"/>
  <c r="F88" i="5"/>
  <c r="D88" i="5"/>
  <c r="B88" i="5"/>
  <c r="F87" i="5"/>
  <c r="D87" i="5"/>
  <c r="B87" i="5"/>
  <c r="F86" i="5"/>
  <c r="D86" i="5"/>
  <c r="B86" i="5"/>
  <c r="F85" i="5"/>
  <c r="D85" i="5"/>
  <c r="B85" i="5"/>
  <c r="F84" i="5"/>
  <c r="D84" i="5"/>
  <c r="B84" i="5"/>
  <c r="F83" i="5"/>
  <c r="D83" i="5"/>
  <c r="B83" i="5"/>
  <c r="F82" i="5"/>
  <c r="D82" i="5"/>
  <c r="B82" i="5"/>
  <c r="F81" i="5"/>
  <c r="D81" i="5"/>
  <c r="B81" i="5"/>
  <c r="F80" i="5"/>
  <c r="D80" i="5"/>
  <c r="B80" i="5"/>
  <c r="F79" i="5"/>
  <c r="D79" i="5"/>
  <c r="B79" i="5"/>
  <c r="F78" i="5"/>
  <c r="D78" i="5"/>
  <c r="B78" i="5"/>
  <c r="F77" i="5"/>
  <c r="D77" i="5"/>
  <c r="B77" i="5"/>
  <c r="F76" i="5"/>
  <c r="D76" i="5"/>
  <c r="B76" i="5"/>
  <c r="F75" i="5"/>
  <c r="D75" i="5"/>
  <c r="B75" i="5"/>
  <c r="F74" i="5"/>
  <c r="D74" i="5"/>
  <c r="B74" i="5"/>
  <c r="F73" i="5"/>
  <c r="D73" i="5"/>
  <c r="B73" i="5"/>
  <c r="F72" i="5"/>
  <c r="D72" i="5"/>
  <c r="B72" i="5"/>
  <c r="F71" i="5"/>
  <c r="D71" i="5"/>
  <c r="B71" i="5"/>
  <c r="F70" i="5"/>
  <c r="D70" i="5"/>
  <c r="B70" i="5"/>
  <c r="F69" i="5"/>
  <c r="D69" i="5"/>
  <c r="B69" i="5"/>
  <c r="F68" i="5"/>
  <c r="D68" i="5"/>
  <c r="B68" i="5"/>
  <c r="F67" i="5"/>
  <c r="D67" i="5"/>
  <c r="B67" i="5"/>
  <c r="F66" i="5"/>
  <c r="D66" i="5"/>
  <c r="B66" i="5"/>
  <c r="F65" i="5"/>
  <c r="D65" i="5"/>
  <c r="B65" i="5"/>
  <c r="F64" i="5"/>
  <c r="D64" i="5"/>
  <c r="B64" i="5"/>
  <c r="F63" i="5"/>
  <c r="D63" i="5"/>
  <c r="B63" i="5"/>
  <c r="F62" i="5"/>
  <c r="D62" i="5"/>
  <c r="B62" i="5"/>
  <c r="F61" i="5"/>
  <c r="D61" i="5"/>
  <c r="B61" i="5"/>
  <c r="F60" i="5"/>
  <c r="D60" i="5"/>
  <c r="B60" i="5"/>
  <c r="F59" i="5"/>
  <c r="D59" i="5"/>
  <c r="B59" i="5"/>
  <c r="F58" i="5"/>
  <c r="D58" i="5"/>
  <c r="B58" i="5"/>
  <c r="F57" i="5"/>
  <c r="D57" i="5"/>
  <c r="B57" i="5"/>
  <c r="F56" i="5"/>
  <c r="D56" i="5"/>
  <c r="B56" i="5"/>
  <c r="F55" i="5"/>
  <c r="D55" i="5"/>
  <c r="B55" i="5"/>
  <c r="F54" i="5"/>
  <c r="D54" i="5"/>
  <c r="B54" i="5"/>
  <c r="F53" i="5"/>
  <c r="D53" i="5"/>
  <c r="B53" i="5"/>
  <c r="F52" i="5"/>
  <c r="D52" i="5"/>
  <c r="B52" i="5"/>
  <c r="F51" i="5"/>
  <c r="D51" i="5"/>
  <c r="B51" i="5"/>
  <c r="F50" i="5"/>
  <c r="D50" i="5"/>
  <c r="B50" i="5"/>
  <c r="F49" i="5"/>
  <c r="D49" i="5"/>
  <c r="B49" i="5"/>
  <c r="F48" i="5"/>
  <c r="D48" i="5"/>
  <c r="B48" i="5"/>
  <c r="F47" i="5"/>
  <c r="D47" i="5"/>
  <c r="B47" i="5"/>
  <c r="F46" i="5"/>
  <c r="D46" i="5"/>
  <c r="B46" i="5"/>
  <c r="F45" i="5"/>
  <c r="D45" i="5"/>
  <c r="B45" i="5"/>
  <c r="F44" i="5"/>
  <c r="D44" i="5"/>
  <c r="B44" i="5"/>
  <c r="F43" i="5"/>
  <c r="D43" i="5"/>
  <c r="B43" i="5"/>
  <c r="F42" i="5"/>
  <c r="D42" i="5"/>
  <c r="B42" i="5"/>
  <c r="F41" i="5"/>
  <c r="D41" i="5"/>
  <c r="B41" i="5"/>
  <c r="F40" i="5"/>
  <c r="D40" i="5"/>
  <c r="B40" i="5"/>
  <c r="F39" i="5"/>
  <c r="D39" i="5"/>
  <c r="B39" i="5"/>
  <c r="F38" i="5"/>
  <c r="D38" i="5"/>
  <c r="B38" i="5"/>
  <c r="F37" i="5"/>
  <c r="D37" i="5"/>
  <c r="B37" i="5"/>
  <c r="F36" i="5"/>
  <c r="D36" i="5"/>
  <c r="B36" i="5"/>
  <c r="F35" i="5"/>
  <c r="D35" i="5"/>
  <c r="B35" i="5"/>
  <c r="F34" i="5"/>
  <c r="D34" i="5"/>
  <c r="B34" i="5"/>
  <c r="F33" i="5"/>
  <c r="D33" i="5"/>
  <c r="B33" i="5"/>
  <c r="F32" i="5"/>
  <c r="D32" i="5"/>
  <c r="B32" i="5"/>
  <c r="F31" i="5"/>
  <c r="D31" i="5"/>
  <c r="B31" i="5"/>
  <c r="F30" i="5"/>
  <c r="D30" i="5"/>
  <c r="B30" i="5"/>
  <c r="F29" i="5"/>
  <c r="D29" i="5"/>
  <c r="B29" i="5"/>
  <c r="F28" i="5"/>
  <c r="D28" i="5"/>
  <c r="B28" i="5"/>
  <c r="F27" i="5"/>
  <c r="D27" i="5"/>
  <c r="B27" i="5"/>
  <c r="F26" i="5"/>
  <c r="D26" i="5"/>
  <c r="B26" i="5"/>
  <c r="F25" i="5"/>
  <c r="D25" i="5"/>
  <c r="B25" i="5"/>
  <c r="F24" i="5"/>
  <c r="D24" i="5"/>
  <c r="B24" i="5"/>
  <c r="F23" i="5"/>
  <c r="D23" i="5"/>
  <c r="B23" i="5"/>
  <c r="F22" i="5"/>
  <c r="D22" i="5"/>
  <c r="B22" i="5"/>
  <c r="F21" i="5"/>
  <c r="D21" i="5"/>
  <c r="B21" i="5"/>
  <c r="F20" i="5"/>
  <c r="D20" i="5"/>
  <c r="B20" i="5"/>
  <c r="F19" i="5"/>
  <c r="D19" i="5"/>
  <c r="B19" i="5"/>
  <c r="F18" i="5"/>
  <c r="D18" i="5"/>
  <c r="B18" i="5"/>
  <c r="F17" i="5"/>
  <c r="D17" i="5"/>
  <c r="B17" i="5"/>
  <c r="F16" i="5"/>
  <c r="D16" i="5"/>
  <c r="B16" i="5"/>
  <c r="F15" i="5"/>
  <c r="D15" i="5"/>
  <c r="B15" i="5"/>
  <c r="F14" i="5"/>
  <c r="D14" i="5"/>
  <c r="B14" i="5"/>
  <c r="F13" i="5"/>
  <c r="D13" i="5"/>
  <c r="B13" i="5"/>
  <c r="F12" i="5"/>
  <c r="D12" i="5"/>
  <c r="B12" i="5"/>
  <c r="F11" i="5"/>
  <c r="D11" i="5"/>
  <c r="B11" i="5"/>
  <c r="F10" i="5"/>
  <c r="D10" i="5"/>
  <c r="B10" i="5"/>
  <c r="F9" i="5"/>
  <c r="D9" i="5"/>
  <c r="B9" i="5"/>
  <c r="F8" i="5"/>
  <c r="D8" i="5"/>
  <c r="B8" i="5"/>
  <c r="F7" i="5"/>
  <c r="D7" i="5"/>
  <c r="B7" i="5"/>
  <c r="F6" i="5"/>
  <c r="D6" i="5"/>
  <c r="B6" i="5"/>
  <c r="F5" i="5"/>
  <c r="D5" i="5"/>
  <c r="B5" i="5"/>
  <c r="F4" i="5"/>
  <c r="D4" i="5"/>
  <c r="B4" i="5"/>
  <c r="F3" i="5"/>
  <c r="D3" i="5"/>
  <c r="B3" i="5"/>
  <c r="F2" i="5"/>
  <c r="D2" i="5"/>
  <c r="B2" i="5"/>
  <c r="B13" i="3"/>
  <c r="B12" i="3"/>
  <c r="B11" i="3"/>
  <c r="B10" i="3"/>
  <c r="B9" i="3"/>
  <c r="B8" i="3"/>
  <c r="B7" i="3"/>
  <c r="B6" i="3"/>
  <c r="B5" i="3"/>
  <c r="B4" i="3"/>
  <c r="B3" i="3"/>
  <c r="B2" i="3"/>
  <c r="K1" i="12" l="1" a="1"/>
  <c r="K1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<sst xmlns="http://schemas.openxmlformats.org/spreadsheetml/2006/main" count="2729" uniqueCount="1059">
  <si>
    <t>Diretriz</t>
  </si>
  <si>
    <t>Objetivo</t>
  </si>
  <si>
    <t>Indicador da Meta</t>
  </si>
  <si>
    <t>Numero da meta</t>
  </si>
  <si>
    <t>1.1</t>
  </si>
  <si>
    <t>1.2</t>
  </si>
  <si>
    <t>1.3</t>
  </si>
  <si>
    <t>2.1</t>
  </si>
  <si>
    <t>2.2</t>
  </si>
  <si>
    <t>2.3</t>
  </si>
  <si>
    <t>2.4</t>
  </si>
  <si>
    <t>2.5</t>
  </si>
  <si>
    <t>Unidade de Medida</t>
  </si>
  <si>
    <t>3.1</t>
  </si>
  <si>
    <t>3.1.1</t>
  </si>
  <si>
    <t>3.2</t>
  </si>
  <si>
    <t>3.2.1</t>
  </si>
  <si>
    <t>3.3.1</t>
  </si>
  <si>
    <t>3.3</t>
  </si>
  <si>
    <t>3.1.2</t>
  </si>
  <si>
    <t>3.1.3</t>
  </si>
  <si>
    <t>3.1.4</t>
  </si>
  <si>
    <t>3.1.5</t>
  </si>
  <si>
    <t>3.1.6</t>
  </si>
  <si>
    <t>3.2.2</t>
  </si>
  <si>
    <t>3.2.3</t>
  </si>
  <si>
    <t>3.3.2</t>
  </si>
  <si>
    <t>3.3.3</t>
  </si>
  <si>
    <t>4.1</t>
  </si>
  <si>
    <t>4.1.1</t>
  </si>
  <si>
    <t>4.1.2</t>
  </si>
  <si>
    <t>4.1.3</t>
  </si>
  <si>
    <t>4.1.4</t>
  </si>
  <si>
    <t>Número da Diretriz</t>
  </si>
  <si>
    <t>Número do Objeto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</si>
  <si>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</si>
  <si>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</si>
  <si>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</si>
  <si>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</si>
  <si>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</si>
  <si>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</si>
  <si>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</si>
  <si>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</si>
  <si>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</si>
  <si>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</si>
  <si>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</si>
  <si>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</si>
  <si>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</si>
  <si>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1.2.1</t>
  </si>
  <si>
    <t>1.2.3</t>
  </si>
  <si>
    <t>1.2.4</t>
  </si>
  <si>
    <t>1.2.5</t>
  </si>
  <si>
    <t>1.2.6</t>
  </si>
  <si>
    <t>1.2.7</t>
  </si>
  <si>
    <t>1.3.1</t>
  </si>
  <si>
    <t>1.3.2</t>
  </si>
  <si>
    <t>1.3.3</t>
  </si>
  <si>
    <t>1.3.4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</si>
  <si>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</si>
  <si>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</si>
  <si>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</si>
  <si>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</si>
  <si>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</si>
  <si>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</si>
  <si>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</si>
  <si>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</si>
  <si>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</si>
  <si>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</si>
  <si>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</si>
  <si>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</si>
  <si>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2.2.3</t>
  </si>
  <si>
    <t>2.3.1</t>
  </si>
  <si>
    <t>2.3.2</t>
  </si>
  <si>
    <t>2.3.3</t>
  </si>
  <si>
    <t>2.3.4</t>
  </si>
  <si>
    <t>2.4.1</t>
  </si>
  <si>
    <t>2.4.2</t>
  </si>
  <si>
    <t>2.5.1</t>
  </si>
  <si>
    <t>2.5.2</t>
  </si>
  <si>
    <t>1.2.2</t>
  </si>
  <si>
    <t>Descrição da Meta</t>
  </si>
  <si>
    <t>Valor da Meta Planejada do Ano</t>
  </si>
  <si>
    <t>Valor da Meta Planejada da PES</t>
  </si>
  <si>
    <t>Número da Atividade</t>
  </si>
  <si>
    <t>Descrição da Atividade</t>
  </si>
  <si>
    <t>1.1.1.1</t>
  </si>
  <si>
    <t>1.1.1.2</t>
  </si>
  <si>
    <t>1.1.1.3</t>
  </si>
  <si>
    <t>1.1.1.4</t>
  </si>
  <si>
    <t>1.1.1.5</t>
  </si>
  <si>
    <t>1.1.1.6</t>
  </si>
  <si>
    <t>1.1.2.1</t>
  </si>
  <si>
    <t xml:space="preserve">Realizar Encontro Estadual de Atenção à Saúde Bucal com foco no apoio às gestões municipais para a melhoria da qualidade da oferta de serviços odontológicos. </t>
  </si>
  <si>
    <t>1.1.2.2</t>
  </si>
  <si>
    <t>1.1.2.3</t>
  </si>
  <si>
    <t>1.1.2.4</t>
  </si>
  <si>
    <t>1.1.3.1</t>
  </si>
  <si>
    <t>1.1.3.2</t>
  </si>
  <si>
    <t>1.1.3.3</t>
  </si>
  <si>
    <t>1.1.3.4</t>
  </si>
  <si>
    <t>1.1.3.5</t>
  </si>
  <si>
    <t>1.1.4.1</t>
  </si>
  <si>
    <t>1.1.4.2</t>
  </si>
  <si>
    <t>1.1.4.3</t>
  </si>
  <si>
    <t>1.1.5.1</t>
  </si>
  <si>
    <t>1.1.5.2</t>
  </si>
  <si>
    <t>1.1.5.3</t>
  </si>
  <si>
    <t>1.1.5.4</t>
  </si>
  <si>
    <t>1.1.5.5</t>
  </si>
  <si>
    <t>1.1.5.6</t>
  </si>
  <si>
    <t>1.1.6.1</t>
  </si>
  <si>
    <t>Realizar Seminário Estadual de premiação dos municípios com melhores resultados nos indicadores do Programa Cuidar de Todos.</t>
  </si>
  <si>
    <t>Realizar ações de inspeção, fiscalização, supervisão, monitoramento e investigação em produtos e serviços de interesse sanitário.</t>
  </si>
  <si>
    <t>Avaliar projetos arquitetônicos de interesse da Vigilância Sanitária.</t>
  </si>
  <si>
    <t>Executar ações dos Planos de prevenção e controle de doenças transmissíveis no estado</t>
  </si>
  <si>
    <t>Realizar os procedimentos para aquisição do elenco e quantitativo de medicamentos/Insumos para atender os pacientes cadastrados no Componente Especializado da Assistência Farmacêutica (CEAF) e Programas das SES-MA (Elenco estadual).</t>
  </si>
  <si>
    <t>Avaliar e monitorar metas estabelecidas para as Unidades de Saúde especializadas em Terapia Renal Substitutiva (TRS) contratualizados.</t>
  </si>
  <si>
    <t>Equipar a Oficina Ortopédica.</t>
  </si>
  <si>
    <t>1.1.6.2</t>
  </si>
  <si>
    <t>1.1.6.3</t>
  </si>
  <si>
    <t>1.1.6.4</t>
  </si>
  <si>
    <t>1.1.6.5</t>
  </si>
  <si>
    <t>1.1.6.6</t>
  </si>
  <si>
    <t>1.1.6.7</t>
  </si>
  <si>
    <t>1.1.7.1</t>
  </si>
  <si>
    <t>1.1.7.2</t>
  </si>
  <si>
    <t>1.1.7.3</t>
  </si>
  <si>
    <t>1.1.7.4</t>
  </si>
  <si>
    <t>1.1.8.5</t>
  </si>
  <si>
    <t>1.1.8.1</t>
  </si>
  <si>
    <t>1.1.8.2</t>
  </si>
  <si>
    <t>1.1.8.3</t>
  </si>
  <si>
    <t>1.1.8.4</t>
  </si>
  <si>
    <t>1.1.9.1</t>
  </si>
  <si>
    <t>1.1.9.2</t>
  </si>
  <si>
    <t>1.1.9.3</t>
  </si>
  <si>
    <t>1.1.9.4</t>
  </si>
  <si>
    <t>1.1.9.5</t>
  </si>
  <si>
    <t>1.1.10.1</t>
  </si>
  <si>
    <t>1.1.10.2</t>
  </si>
  <si>
    <t>1.1.10.3</t>
  </si>
  <si>
    <t>1.1.11.1</t>
  </si>
  <si>
    <t>1.1.11.2</t>
  </si>
  <si>
    <t>1.1.11.3</t>
  </si>
  <si>
    <t>1.1.11.4</t>
  </si>
  <si>
    <t>1.1.12.1</t>
  </si>
  <si>
    <t>1.1.12.2</t>
  </si>
  <si>
    <t>1.1.13.1</t>
  </si>
  <si>
    <t>1.1.13.2</t>
  </si>
  <si>
    <t>1.2.2.1</t>
  </si>
  <si>
    <t>1.2.2.2</t>
  </si>
  <si>
    <t>1.2.2.3</t>
  </si>
  <si>
    <t>1.2.2.4</t>
  </si>
  <si>
    <t>1.2.2.5</t>
  </si>
  <si>
    <t>1.2.2.6</t>
  </si>
  <si>
    <t>1.2.3.1</t>
  </si>
  <si>
    <t>1.2.3.2</t>
  </si>
  <si>
    <t>1.2.3.3</t>
  </si>
  <si>
    <t>1.2.3.4</t>
  </si>
  <si>
    <t>1.2.3.5</t>
  </si>
  <si>
    <t>1.2.3.6</t>
  </si>
  <si>
    <t>1.2.3.7</t>
  </si>
  <si>
    <t>1.2.3.8</t>
  </si>
  <si>
    <t>1.2.4.1</t>
  </si>
  <si>
    <t>1.2.4.2</t>
  </si>
  <si>
    <t>1.2.5.1</t>
  </si>
  <si>
    <t>1.2.5.2</t>
  </si>
  <si>
    <t>1.2.5.3</t>
  </si>
  <si>
    <t>1.2.6.1</t>
  </si>
  <si>
    <t>1.2.6.2</t>
  </si>
  <si>
    <t>1.2.6.3</t>
  </si>
  <si>
    <t>1.2.6.4</t>
  </si>
  <si>
    <t>1.2.6.5</t>
  </si>
  <si>
    <t>1.2.6.6</t>
  </si>
  <si>
    <t>1.2.6.7</t>
  </si>
  <si>
    <t>1.2.6.8</t>
  </si>
  <si>
    <t>1.2.6.9</t>
  </si>
  <si>
    <t>1.2.6.10</t>
  </si>
  <si>
    <t>1.2.6.11</t>
  </si>
  <si>
    <t>1.2.6.12</t>
  </si>
  <si>
    <t>1.2.6.13</t>
  </si>
  <si>
    <t>1.2.6.14</t>
  </si>
  <si>
    <t>1.2.6.15</t>
  </si>
  <si>
    <t>1.2.6.16</t>
  </si>
  <si>
    <t>1.2.6.17</t>
  </si>
  <si>
    <t>1.2.6.18</t>
  </si>
  <si>
    <t>1.2.7.1</t>
  </si>
  <si>
    <t>1.2.7.2</t>
  </si>
  <si>
    <t>1.2.7.3</t>
  </si>
  <si>
    <t>1.2.7.4</t>
  </si>
  <si>
    <t>1.2.7.5</t>
  </si>
  <si>
    <t>1.2.7.6</t>
  </si>
  <si>
    <t>1.2.7.7</t>
  </si>
  <si>
    <t>1.2.7.8</t>
  </si>
  <si>
    <t>1.3.1.1</t>
  </si>
  <si>
    <t>1.3.2.1</t>
  </si>
  <si>
    <t>1.3.3.1</t>
  </si>
  <si>
    <t>1.3.4.1</t>
  </si>
  <si>
    <t>2.1.1.1</t>
  </si>
  <si>
    <t>2.1.1.2</t>
  </si>
  <si>
    <t>2.1.1.3</t>
  </si>
  <si>
    <t>2.1.1.4</t>
  </si>
  <si>
    <t>2.1.1.5</t>
  </si>
  <si>
    <t>2.1.1.6</t>
  </si>
  <si>
    <t>2.1.1.7</t>
  </si>
  <si>
    <t>2.1.1.8</t>
  </si>
  <si>
    <t>2.1.1.9</t>
  </si>
  <si>
    <t>2.1.1.10</t>
  </si>
  <si>
    <t>2.1.1.11</t>
  </si>
  <si>
    <t>2.1.1.12</t>
  </si>
  <si>
    <t>2.1.1.13</t>
  </si>
  <si>
    <t>2.1.1.14</t>
  </si>
  <si>
    <t>2.1.1.15</t>
  </si>
  <si>
    <t>2.1.1.16</t>
  </si>
  <si>
    <t>2.1.1.17</t>
  </si>
  <si>
    <t>2.1.1.18</t>
  </si>
  <si>
    <t>2.1.1.19</t>
  </si>
  <si>
    <t>2.1.2.1</t>
  </si>
  <si>
    <t>2.1.2.2</t>
  </si>
  <si>
    <t>2.1.2.3</t>
  </si>
  <si>
    <t>2.1.2.4</t>
  </si>
  <si>
    <t>2.1.2.5</t>
  </si>
  <si>
    <t>2.1.3.1</t>
  </si>
  <si>
    <t>2.1.3.2</t>
  </si>
  <si>
    <t>2.1.3.3</t>
  </si>
  <si>
    <t>2.1.4.1</t>
  </si>
  <si>
    <t>2.1.5.1</t>
  </si>
  <si>
    <t>2.1.5.2</t>
  </si>
  <si>
    <t>2.1.5.3</t>
  </si>
  <si>
    <t>2.1.5.4</t>
  </si>
  <si>
    <t>2.1.6.1</t>
  </si>
  <si>
    <t>2.1.6.2</t>
  </si>
  <si>
    <t>2.1.6.3</t>
  </si>
  <si>
    <t>2.1.7.1</t>
  </si>
  <si>
    <t>2.1.7.2</t>
  </si>
  <si>
    <t>2.1.7.3</t>
  </si>
  <si>
    <t>2.1.8.1</t>
  </si>
  <si>
    <t>2.1.8.2</t>
  </si>
  <si>
    <t>2.1.8.3</t>
  </si>
  <si>
    <t>2.1.8.4</t>
  </si>
  <si>
    <t>2.1.8.5</t>
  </si>
  <si>
    <t>2.1.8.6</t>
  </si>
  <si>
    <t>2.1.9.1</t>
  </si>
  <si>
    <t>2.1.9.2</t>
  </si>
  <si>
    <t>2.1.9.3</t>
  </si>
  <si>
    <t>2.1.9.4</t>
  </si>
  <si>
    <t>2.1.9.5</t>
  </si>
  <si>
    <t>2.1.10.1</t>
  </si>
  <si>
    <t>2.1.10.2</t>
  </si>
  <si>
    <t>2.2.1.1</t>
  </si>
  <si>
    <t>2.2.1.2</t>
  </si>
  <si>
    <t>2.2.1.3</t>
  </si>
  <si>
    <t>2.2.2.1</t>
  </si>
  <si>
    <t>2.2.3.1</t>
  </si>
  <si>
    <t>2.2.3.2</t>
  </si>
  <si>
    <t>2.2.3.3</t>
  </si>
  <si>
    <t>2.3.1.1</t>
  </si>
  <si>
    <t>2.3.1.2</t>
  </si>
  <si>
    <t>2.3.1.3</t>
  </si>
  <si>
    <t>2.3.2.1</t>
  </si>
  <si>
    <t>2.3.2.2</t>
  </si>
  <si>
    <t>2.3.2.3</t>
  </si>
  <si>
    <t>2.3.3.1</t>
  </si>
  <si>
    <t>2.3.3.2</t>
  </si>
  <si>
    <t>2.3.3.3</t>
  </si>
  <si>
    <t>2.3.3.4</t>
  </si>
  <si>
    <t>2.3.3.5</t>
  </si>
  <si>
    <t>2.3.3.6</t>
  </si>
  <si>
    <t>2.3.3.7</t>
  </si>
  <si>
    <t>2.3.4.1</t>
  </si>
  <si>
    <t>2.3.4.2</t>
  </si>
  <si>
    <t>2.3.4.3</t>
  </si>
  <si>
    <t>2.3.4.4</t>
  </si>
  <si>
    <t>2.3.4.5</t>
  </si>
  <si>
    <t>2.4.1.1</t>
  </si>
  <si>
    <t>2.4.2.1</t>
  </si>
  <si>
    <t>2.5.1.1</t>
  </si>
  <si>
    <t>2.5.1.2</t>
  </si>
  <si>
    <t>2.5.1.3</t>
  </si>
  <si>
    <t>2.5.1.4</t>
  </si>
  <si>
    <t>2.5.1.5</t>
  </si>
  <si>
    <t>2.5.1.6</t>
  </si>
  <si>
    <t>2.5.1.7</t>
  </si>
  <si>
    <t>2.5.1.8</t>
  </si>
  <si>
    <t>2.5.1.9</t>
  </si>
  <si>
    <t>2.5.1.10</t>
  </si>
  <si>
    <t>2.5.1.11</t>
  </si>
  <si>
    <t>2.5.2.1</t>
  </si>
  <si>
    <t>2.5.2.2</t>
  </si>
  <si>
    <t>2.5.2.3</t>
  </si>
  <si>
    <t>2.5.2.4</t>
  </si>
  <si>
    <t>2.5.2.5</t>
  </si>
  <si>
    <t>2.5.2.6</t>
  </si>
  <si>
    <t>2.5.2.7</t>
  </si>
  <si>
    <t>2.5.2.8</t>
  </si>
  <si>
    <t>2.5.2.9</t>
  </si>
  <si>
    <t>2.5.2.10</t>
  </si>
  <si>
    <t>2.5.2.11</t>
  </si>
  <si>
    <t>2.5.2.12</t>
  </si>
  <si>
    <t>2.5.2.13</t>
  </si>
  <si>
    <t>2.5.2.14</t>
  </si>
  <si>
    <t>Meta da Atividade</t>
  </si>
  <si>
    <t>Indicador da Atividade</t>
  </si>
  <si>
    <t>Núcleos Implantados</t>
  </si>
  <si>
    <t>Serviço Implantado</t>
  </si>
  <si>
    <t>Oficina Realizada</t>
  </si>
  <si>
    <t>Seminário Realizado</t>
  </si>
  <si>
    <t>Serviço Habilitado</t>
  </si>
  <si>
    <t>Encontro Realizado</t>
  </si>
  <si>
    <t>Simpósio Realizado</t>
  </si>
  <si>
    <t>Número</t>
  </si>
  <si>
    <t>Profissionais Capacitados</t>
  </si>
  <si>
    <t>Painel Implantado</t>
  </si>
  <si>
    <t>Profissionais capacitados</t>
  </si>
  <si>
    <t>Visitas Técnicas Realizadas</t>
  </si>
  <si>
    <t>Região de Saúde</t>
  </si>
  <si>
    <t>AÇAILÂNDIA (Região XIV)</t>
  </si>
  <si>
    <t>CAXIAS (Região XXVI)</t>
  </si>
  <si>
    <t>CHAPADINHA (Região IV)</t>
  </si>
  <si>
    <t>SÃO LUÍS (Região I)</t>
  </si>
  <si>
    <t>BACABAL (Região XXV)</t>
  </si>
  <si>
    <t>CODÓ (Região VI)</t>
  </si>
  <si>
    <t>SANTA INÊS (Região XI)</t>
  </si>
  <si>
    <t>BALSAS (Região XVII)</t>
  </si>
  <si>
    <t>ZÉ DOCA (Região XII)</t>
  </si>
  <si>
    <t>IMPERATRIZ (Região XV)</t>
  </si>
  <si>
    <t>ITAPECURU (Região III)</t>
  </si>
  <si>
    <t>PINHEIRO (Região VII)</t>
  </si>
  <si>
    <t>BARRA DO CORDA (Região XXIV)</t>
  </si>
  <si>
    <t>ROSÁRIO (Região I)</t>
  </si>
  <si>
    <t>VIANA (Região IX)</t>
  </si>
  <si>
    <t>SÃO JOÃO DOS PATOS (Região XVIII)</t>
  </si>
  <si>
    <t>PEDREIRAS (Região XXIII)</t>
  </si>
  <si>
    <t>PRESIDENTE DUTRA (Região XX)</t>
  </si>
  <si>
    <t>TIMON (Região X)</t>
  </si>
  <si>
    <t>O município foi beneficiado do 1º Quadrimestre?</t>
  </si>
  <si>
    <t>Sim</t>
  </si>
  <si>
    <t>Fórmula</t>
  </si>
  <si>
    <t>ESSA PLANILHA SERVE APENAS PARA CONSEGUIR O CÓDIGO DOS MUNICÍPIOS BENEFICIADOS.
COLOCA A REGIÃO E O MUNICÍPIO BENEFICIADO EM A E B, E DAÍ AS FORMULAS VÃO ESTAR EM K.</t>
  </si>
  <si>
    <t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t>
  </si>
  <si>
    <t>Fortalecimento da Assistência Especializada em Saúde, de Média e Alta Complexidade, de forma ascendente e regionalizada, contemplando as demandas específicas das regiões de saúde, aperfeiçoando o sistema de regulação, garantindo a oferta de serviços de saúde.</t>
  </si>
  <si>
    <t>Fortalecer a Gestão Pública, por meio da gestão compartilhada nas regiões de saúde, com aprimoramento do planejamento estratégico e dos instrumentos de gestão, garantindo e fortalecendo as instâncias de controle social.</t>
  </si>
  <si>
    <t>Garantir o financiamento público e sustentável ao Sistema Único de Saúde, melhorando o padrão de gastos e qualificando o financiamento tripartite em saúde.</t>
  </si>
  <si>
    <t>Fortalecer a Atenção Primária para apoiar o desenvolvimento de ações em saúde no estado.</t>
  </si>
  <si>
    <t>Aprimorar as ações de Vigilância em Saúde para promoção, prevenção e controle de doenças e agravos.</t>
  </si>
  <si>
    <t>Garantir aos usuários do SUS acesso aos medicamentos contemplados nos Componentes Básico, Especializado, Estratégico da Assistência Farmacêutica e dos programas da SES/MA.</t>
  </si>
  <si>
    <t>Garantir a integralidade da assistência dos serviços de média e alta complexidade aos usuários do SUS, por meio do fortalecimento das redes de atenção à saúde.</t>
  </si>
  <si>
    <t>Ampliar a doação e a captação de órgãos e tecidos, com a finalidade de ampliar a realização de transplantes no estado.</t>
  </si>
  <si>
    <t>Programar, executar e coordenar a política de sangue, seus componentes e derivados no estado do Maranhão no âmbito da hemoterapia e de hematologia clínica, incluindo suporte diagnostico e atendimentos multidisciplinares.</t>
  </si>
  <si>
    <t>Realizar assistência de combate ao cancer na média e alta complexidade.</t>
  </si>
  <si>
    <t>Ampliar e modernizar a infraestrutura de unidades de saúde, de acordo com perfil assistencial definido.</t>
  </si>
  <si>
    <t>Aprimorar o planejamento, o monitoramento e a avaliação da política de saúde, a nível estadual, e apoiar os municípios no âmbito da gestão do SUS.</t>
  </si>
  <si>
    <t>Dimensionar, valorizar e qualificar os trabalhadores/as do SUS no Maranhão, a partir da estruturação de uma política da gestão de trabalho e educação na saúde.</t>
  </si>
  <si>
    <t>Fortalecer os espaços de gestão compartilhada e descentralizada das ações da Secretaria Estadual de Saúde, visando à transparência e aprimorando o controle social.</t>
  </si>
  <si>
    <t>Garantir os investimentos em ações e serviços de saúde no Estado do Maranhão, ampliando o cofinanciamento, a captação de recursos e aumentando a eficiência, eficácia e efetividade da execução orçamentária e financeira</t>
  </si>
  <si>
    <t>Número do Objetivo</t>
  </si>
  <si>
    <t>Apoiar os municípios no desenvolvimento de ações de fortalecimento para Estratégia Saúde da Família</t>
  </si>
  <si>
    <t>Nº de municípios beneficiados</t>
  </si>
  <si>
    <t>Apoiar os municípios no desenvolvimento de ações voltadas para o fortalecimento da Política de Saúde Bucal.</t>
  </si>
  <si>
    <t>Apoiar os municípios a desenvolverem ações de fortalecimento da Política de Saúde do Adulto e Idoso.</t>
  </si>
  <si>
    <t>Apoiar Unidades Prisionais de Ressocialização a desenvolverem ações voltadas para a Política Nacional de Atenção Integral à Saúde de Pessoas Privadas de Liberdade (PNAISP).</t>
  </si>
  <si>
    <t>Nº de Unidades Prisionais apoiadas</t>
  </si>
  <si>
    <t>Apoiar os municípios no desenvolvimento de ações de fortalecimento da Política de Saúde Integral da Mulher.</t>
  </si>
  <si>
    <t>Apoiar os municípios no desenvolvimento de ações voltadas para o fortalecimento da Política de Saúde da Criança e do Adolescente.</t>
  </si>
  <si>
    <t>Apoiar os municípios para implantação e implementação das ações e estratégias da Política Nacional de Alimentação e Nutrição (PNAN).</t>
  </si>
  <si>
    <t>Fortalecer os municípios na integração das ações da Atenção Primária com as populações vulneráveis seguindo o princípio da Equidade em Saúde.</t>
  </si>
  <si>
    <t>Apoiar institucionalmente as gestões municipais no SUS, por meio da planificação da atenção à saúde e da oferta de assistência em situação de emergência de saúde pública.</t>
  </si>
  <si>
    <t>Garantir apoio institucional aos municípios nas ações da Política de Saúde Mental, Álcool e outras drogas.</t>
  </si>
  <si>
    <t>Reduzir em 60% a internação de longa permanência de pessoas com transtornos mentais em conflito com a lei.</t>
  </si>
  <si>
    <t>Nº de internações</t>
  </si>
  <si>
    <t>Apoiar os municípios na implantação do Programa Farmácia Viva.</t>
  </si>
  <si>
    <t>Fortalecer APS por meio de cooperação técnica entre estado e município.</t>
  </si>
  <si>
    <t>Fortalecer as ações de promoção, prevenção e proteção à saúde em relação aos riscos ambientais nas três macrorregiões de saúde.</t>
  </si>
  <si>
    <t>Nº de Ações Realizadas</t>
  </si>
  <si>
    <t>Unidade</t>
  </si>
  <si>
    <t>Fortalecer as ações de promoção, prevenção e proteção de Vigilância em Saúde do Trabalhador e da Trabalhadora nas três macrorregiões de saúde.</t>
  </si>
  <si>
    <t>Fortalecer as ações de gerenciamento de risco em vigilância sanitária nas três macrorregiões de saúde.</t>
  </si>
  <si>
    <t>Desenvolver ações de vigilância laboratorial em saúde pública.</t>
  </si>
  <si>
    <t>Realizar exames de vigilância laboratorial em saúde pública.</t>
  </si>
  <si>
    <t>Nº de Exames Realizados</t>
  </si>
  <si>
    <t>Realizar ações de apoio aos municípios no âmbito da Vigilância epidemiológica e Controle de Doenças.</t>
  </si>
  <si>
    <t>Apoiar os municípios na redução das taxas de incidência de HIV, Sífilis, Hepatites Virais e outras ISTs.</t>
  </si>
  <si>
    <t>Nº de Municípios Beneficiados</t>
  </si>
  <si>
    <t>Ampliar o acesso aos medicamentos especializados e padronizados aos usuários.</t>
  </si>
  <si>
    <t>Nº de Atendimentos Realizados</t>
  </si>
  <si>
    <t>Garantir a distribuição de fórmulas especiais a crianças com alergia e/ou intolerância alimentar.</t>
  </si>
  <si>
    <t>Avançar na descentralização da Farmácia Estadual de Medicamentos Especializados (FEME).</t>
  </si>
  <si>
    <t>Nº de Unidades Descentralizadas</t>
  </si>
  <si>
    <t>Garantir o acesso aos medicamentos às pessoas privadas de liberdade.</t>
  </si>
  <si>
    <t>Prestar o atendimento ambulatorial especializado aos usuários do SUS por intermédio dos serviços de saúde nas unidades próprias.</t>
  </si>
  <si>
    <t>Nº de procedimentos realizados</t>
  </si>
  <si>
    <t>Prestar o atendimento hospitalar aos usuários do SUS por intermédio dos serviços de saúde nas unidades próprias.</t>
  </si>
  <si>
    <t>Garantir o atendimento Odontológico Ambulatorial, Hospitalar e de Urgência e Emergência.</t>
  </si>
  <si>
    <t>Otimizar o gerenciamento dos leitos hospitalares da rede própria.</t>
  </si>
  <si>
    <t>% de Leitos Monitorados</t>
  </si>
  <si>
    <t>Porcentagem</t>
  </si>
  <si>
    <t>Qualificar os processos de regulação de acesso ambulatorial.</t>
  </si>
  <si>
    <t>% de solicitações atendidas</t>
  </si>
  <si>
    <t>Qualificar os processos de regulação de acesso à internação hospitalar.</t>
  </si>
  <si>
    <t>% solicitações atendidas</t>
  </si>
  <si>
    <t>Qualificar os processos de regulação de transporte interhospitalar.</t>
  </si>
  <si>
    <t>Garantir o deslocamento e ajuda de custo aos pacientes para Tratamentos Fora do Domicílio (TFD) em outra unidade da federação.</t>
  </si>
  <si>
    <t>Prestar o atendimento ambulatorial e hospitalar de média e alta complexidade aos usuários do SUS por intermédio dos estabelecimentos de saúde de natureza pública municipal e privadas contratualizadas.</t>
  </si>
  <si>
    <t>Garantir apoio técnico aos municípios com Serviço de Atendimento Móvel de Urgência (SAMU) habilitados.</t>
  </si>
  <si>
    <t>Aumentar o número de notificações de morte encefálica e tecidos no estado.</t>
  </si>
  <si>
    <t>Nº de notificações</t>
  </si>
  <si>
    <t>Aumentar o número de doadores efetivos para doação e captação de órgãos e tecidos</t>
  </si>
  <si>
    <t>Nº de doadores efetivos</t>
  </si>
  <si>
    <t>Aumentar o número de transplantes de órgãos e tecidos efetivos no estado.</t>
  </si>
  <si>
    <t>Nº de transplantes efetivos no Estado</t>
  </si>
  <si>
    <t>Ampliar os procedimentos destinados à obtenção do sangue, seus componentes e derivados.</t>
  </si>
  <si>
    <t>Nº de procedimentos hemoterápicos realizados</t>
  </si>
  <si>
    <t>Ampliar o número de consultas médicas em atenção especializada.</t>
  </si>
  <si>
    <t>Nº de consultas médicas realizadas</t>
  </si>
  <si>
    <t>Ampliar o número de atendimentos multidisciplinares em atenção especializada.</t>
  </si>
  <si>
    <t>Nº de atendimentos multidisciplinares realizados</t>
  </si>
  <si>
    <t>Aumentar o número de exames laboratoriais de triagem e suporte diagnóstico.</t>
  </si>
  <si>
    <t>Nº de exames laboratoriais</t>
  </si>
  <si>
    <t>Ampliar o acesso aos serviços de diagnóstico do câncer.</t>
  </si>
  <si>
    <t>Ampliar o acesso aos serviços de tratamento do câncer.</t>
  </si>
  <si>
    <t>Ampliar a rede hospitalar e ambulatorial nas regiões.</t>
  </si>
  <si>
    <t>Nº de regiões atendidas</t>
  </si>
  <si>
    <t>Garantir a aquisição de equipamentos hospitalares para as unidades de saúde da região.</t>
  </si>
  <si>
    <t>Fortalecer a cultura de planejamento nas gestões estadual e municipal do SUS.</t>
  </si>
  <si>
    <t>Nº de ações de planejamento realizadas</t>
  </si>
  <si>
    <t>Realizar ações para implantar o Planejamento Regional Integrado (PRI) no Maranhão.</t>
  </si>
  <si>
    <t>Nº de ações realizadas</t>
  </si>
  <si>
    <t>Fortalecer as ações de Auditoria do SUS.</t>
  </si>
  <si>
    <t>Garantir o monitoramento das ações realizadas nas unidades de saúde.</t>
  </si>
  <si>
    <t>Nº de unidades de saúde monitoradas</t>
  </si>
  <si>
    <t>Fortalecer as ações de Ouvidoria do SUS no estado.</t>
  </si>
  <si>
    <t>Aprimorar a Gestão da Tecnologia da Informação, Comunicação e Inovação no SUS do Maranhão</t>
  </si>
  <si>
    <t>Nº de soluções digitais implantados</t>
  </si>
  <si>
    <t>Qualificar trabalhadores/as, por meio de processos formativos técnicos, de aperfeiçoamento, de atualização, oficinas, simpósios, conferências, workshop, eventos científicos, cursos de curta duração.</t>
  </si>
  <si>
    <t>Nº de certificados emitidos</t>
  </si>
  <si>
    <t>Qualificar trabalhadores/as, por meio de cursos de pós_x0002_graduação lato e stricto sensu, nas modalidades especialização, residência e mestrado.</t>
  </si>
  <si>
    <t>Nº de trabalhadores/a de profissionais qualificados</t>
  </si>
  <si>
    <t>Implementar as ações do Plano Estadual de Gestão do Trabalho e Educação na Saúde.</t>
  </si>
  <si>
    <t>Realizar ações de apoio aos municípios nas Unidades Regionais de Saúde.</t>
  </si>
  <si>
    <t>Potencializar as ações do Conselho Estadual de Saúde.</t>
  </si>
  <si>
    <t>Potencializar as ações do Conselho Estadual de Políticas sobre Drogas.</t>
  </si>
  <si>
    <t>Fortalecer o cofinanciamento da Atenção Primária em Saúde, por meio do Programa Cuidar de Todos.</t>
  </si>
  <si>
    <t>Nº de repasses concedidos</t>
  </si>
  <si>
    <t>Garantir o repasse da Farmácia Básica aos municípios.</t>
  </si>
  <si>
    <t>Ampliar a participação de Consórcios Públicos Interfederativos nas compras compartilhadas.</t>
  </si>
  <si>
    <t>Nº de compras realizadas</t>
  </si>
  <si>
    <t>Garantir o repasse do Serviço Móvel de Urgência (SAMU) aos municípios.</t>
  </si>
  <si>
    <t>Nº de parcelas de repasse realizadas</t>
  </si>
  <si>
    <t>0.85</t>
  </si>
  <si>
    <t xml:space="preserve">Realizar Apoio técnico por meio de monitoramento, visita técnica ou webconferência, objetivando incentivar os municípios a ampliarem a cobertura da Atenção Primária em Saúde (APS) no Estado, através da solicitação de novos credenciamentos de Programas, Projetos e Estratégias financiadas pelo Ministério da Saúde </t>
  </si>
  <si>
    <t>Apoiar tecnicamente os municípios em relação aos Indicadores da APS, quanto ao registro das atividades realizadas ou subnotificadas no âmbito da Atenção Primária em Saúde, no Sistema E-SUS e Sistema de Informação da Atenção Primária em Saúde - SIAPS, através de web conferência e visita in loco</t>
  </si>
  <si>
    <t xml:space="preserve">Realizar monitoramento e avaliação através de oficinas presenciais e virtuais da Equipe Multiprofissional ¿ eMulti e Incentivo à Atividade Física ¿ IAF, credenciadas e homologadas, dos municípios. </t>
  </si>
  <si>
    <t xml:space="preserve">Realizar Oficinas de execução e monitoramento do Projeto: Linhas de Cuidados em Práticas Integrativas na Dor Crônica e Saúde Mental. </t>
  </si>
  <si>
    <t xml:space="preserve">Realizar apoio técnico através de visita técnica ou web conferência, objetivando monitorar e qualificar as ações de segurança do paciente na APS </t>
  </si>
  <si>
    <t xml:space="preserve">Realizar Reunião da Câmara Técnica Estadual da APS. </t>
  </si>
  <si>
    <t>Ações Realizadas</t>
  </si>
  <si>
    <t>Atividades Realizadas</t>
  </si>
  <si>
    <t>Oficinas Realizadas</t>
  </si>
  <si>
    <t>Municípios Apoiados</t>
  </si>
  <si>
    <t>Reunião Realizada</t>
  </si>
  <si>
    <t>Realizar Oficinas Macrorregionais, in loco ou via web, sobre a importância da Ampliação da Cobertura de Saúde Bucal na Atenção Primária em Saúde e melhora dos indicadores de desempenho</t>
  </si>
  <si>
    <t>Apoiar tecnicamente os Municípios contemplados com Unidades Odontológicas Móveis (UOM) doadas pelo Ministério da Saúde (MS), em relação à situação de credenciamento/descredenciamento, cadastro, inconsistência, fluxos, Portarias, Notas Técnicas emitidas pelo Estado e MS.</t>
  </si>
  <si>
    <t xml:space="preserve">Realizar Seminários de qualificação para Profissionais de Saúde, Coordenadores da Saúde do Homem e Agentes Comunitários de Saúde - ACS sobre o fortalecimento da Política Nacional da Saúde Integral do Homem com foco no Acesso e Acolhimento, Pré-Natal do Parceiro e Prevenção, Diagnóstico e Tratamento do Câncer de Pênis baseado na Linha de Cuidado do Homem Maranhense. </t>
  </si>
  <si>
    <t>Realizar Qualificação para Profissionais da Atenção Primária em Saúde, Coordenadores da Saúde da Pessoa Idosa e ACS em Avaliação Multidimensional, Violência, Promoção da Saúde e Prevenção de Quedas da Pessoa Idosa</t>
  </si>
  <si>
    <t>Realizar Seminário de Qualificação para Profissionais da Atenção Primária em Saúde, para o Cuidado as Pessoas com Hipertensão Arterial Sistêmica e Diabetes Mellitus</t>
  </si>
  <si>
    <t>Realizar qualificação para implantação do Tratamento do Fumante para Profissionais de Saúde, Coordenadores da Atenção Primária em Saúde e ACS da Atenção Primária em Saúde.</t>
  </si>
  <si>
    <t>Realizar Encontro Avaliativo e Participativo do Controle do Tabagismo e Saúde do Homem, com apresentação de experiências exitosas no processo de trabalho no território.</t>
  </si>
  <si>
    <t>Seminários Realizados</t>
  </si>
  <si>
    <t>Realizar apoio técnico, através de webconferência e visitas técnicas, objetivando implantação das Equipes de Atenção Primária Prisional (EAPPS) com vistas fortalecer a Política Nacional de Atenção Integral à Saúde de Pessoas Privadas de Liberdade (PNAISP)</t>
  </si>
  <si>
    <t>Realizar monitoramento e avaliação através de oficinas presenciais e virtuais das Equipes de Atenção Primária Prisional (EAPPS) credenciadas e homologadas e equipes de saúde da Secretaria de Estado de Administração Penitenciária - SEAP</t>
  </si>
  <si>
    <t>Realizar Seminário de Qualificação para os Profissionais das Saúde e das Equipes de Atenção Primária Prisional (EAPPS) credenciadas e homologadas.</t>
  </si>
  <si>
    <t>Unidades Prisionais Apoiadas</t>
  </si>
  <si>
    <t>Qualificar os Profissionais na Prevenção e alcance dos Indicadores de Câncer de Colo do Útero e Mama na gestão do Sistema de Informação do Câncer - SISCAN e Monitoramento "In loco" das metas e Indicadores dos exames Citopatológicos, Mamografia.</t>
  </si>
  <si>
    <t>Realizar oficinas da linha de cuidado para atendimento de mulheres em situação de violência e pactuar com os municípios o fluxo para atendimento de mulheres em situação de violência.</t>
  </si>
  <si>
    <t xml:space="preserve">Realizar IV Seminário Estadual de saúde das mulheres e suas diversidades em todos os ciclos de vida. </t>
  </si>
  <si>
    <t>Realizar II Encontro Estadual dos Comitês Regionais de Prevenção de Mortalidade Materna, Infantil e Fetal do Maranhão e Dia Nacional de Redução da Mortalidade Materna.</t>
  </si>
  <si>
    <t>Realizar oficinas de qualificação do pré-natal e puerpério.</t>
  </si>
  <si>
    <t>Qualificar profissionais da Atenção Primária para inserção e retirada de Dispositivo Intrauterino - DIU e Implanon.</t>
  </si>
  <si>
    <t>Realizar Oficinas de Serviços amigáveis para Adolescentes na Atenção Primária em Saúde</t>
  </si>
  <si>
    <t>Realizar oficinas de planejamento estratégico do Programa Saúde na Escola - PSE</t>
  </si>
  <si>
    <t>Realizar 14 Avaliações de implementação da Iniciativa Hospital Amigo da Criança - IHAC</t>
  </si>
  <si>
    <t>Realizar capacitações e apoio técnico para os municípios e para as maternidades regionais objetivando a implantação de todas as triagens neonatais</t>
  </si>
  <si>
    <t xml:space="preserve">Apoio institucional e qualificação das ações da Política Nacional de Atenção Integral à Saúde das Crianças - PNAISC com foco aos Cuidados com Recém-Nascido - RN, in loco nos municípios do MA por regional de saúde </t>
  </si>
  <si>
    <t>Realizar formações práticas do Projeto de Puericultura</t>
  </si>
  <si>
    <t xml:space="preserve">Realizar Oficinas para implementação da Ficha do Cuidado Compartilhado na Terceira Etapa do Método Canguru nas maternidades e na APS que acompanham o RN de alto risco </t>
  </si>
  <si>
    <t>Elaborar II Informe Situacional dos Programas e das condições de alimentação e nutrição da população do Estado do Maranhão, e divulgar e orientar gestores e profissionais da Atenção Primária quanto a sua utilização como instrumento de gestão.</t>
  </si>
  <si>
    <t xml:space="preserve">Realizar ações de educação permanente, organização de processos de trabalho e de fluxo dos municípios para melhoria do acompanhamento do Programa Bolsa Família e Maranhão Livre da Fome no âmbito da saúde </t>
  </si>
  <si>
    <t xml:space="preserve">Realizar o II Encontro estadual de Alimentação e Nutrição da Atenção Primaria em Saúde. </t>
  </si>
  <si>
    <t xml:space="preserve">Realizar processos formativos em Vigilância Alimentar e Nutricional e dos Programas Nacionais de suplementação de Vitamina A e Ferro para construção e implementação de planos de ação e monitoramento dos indicadores. </t>
  </si>
  <si>
    <t>Avaliações Realizadas</t>
  </si>
  <si>
    <t>Capacitações Realizadas</t>
  </si>
  <si>
    <t>Qualificações Realizadas</t>
  </si>
  <si>
    <t>Formações Realizadas</t>
  </si>
  <si>
    <t>Informes Elaborados</t>
  </si>
  <si>
    <t>Encontros Realizados</t>
  </si>
  <si>
    <t>Processos Realizados</t>
  </si>
  <si>
    <t>Fortalecer as políticas de saúde para a população em situação de rua, albina, cigana e de imigrantes/refugiados através de escutas, oficinas e apoio institucional para profissionais da Atenção primária.</t>
  </si>
  <si>
    <t xml:space="preserve">Apoiar tecnicamente as equipes de saúde da Estratégia Saúde da Família e Distritos Sanitários Especiais Indígenas ¿ DSEI na atenção à população indígena com foco na equidade, intersetorialidade e na interculturalidade por meio de oficinas regionalizadas </t>
  </si>
  <si>
    <t>Qualificar a Política de Saúde Integral da População LGBTQI+ por meio de ações de saúde (oficinas, encontros e seminários, reuniões e apoio institucional).</t>
  </si>
  <si>
    <t xml:space="preserve">Implantar a Política Estadual de Atenção Integral a Saúde das Populações do Campo, da Floresta e das Águas ¿ PEAISPCFA de forma regionalizada. </t>
  </si>
  <si>
    <t xml:space="preserve">Fortalecer a Política Estadual sobre População Negra, Comunidades Tradicionais e Quilombolas por meio de ações de saúde (rodas de conversa, webnário, encontros orientativos e suporte ao Comitê Estadual da População Negra na execução de suas ações e estratégias). </t>
  </si>
  <si>
    <t>Realizar Oficinas Tutoriais de Qualificação sobre a Linha de Cuidado Materno-Infantil e Condições Crônicas, no âmbito do Planifica Maranhão, contemplando as macrorregiões Norte, Leste e Sul, em parceria com os departamentos da SES/MA.</t>
  </si>
  <si>
    <t>Promover Oficinas Tutoriais de Qualificação sobre a Linha de Cuidado Materno-Infantil e Condições Crônicas, no âmbito do Planifica Maranhão, com foco na população indígena, fortalecendo a Atenção Primária à Saúde e apoiando a organização das linhas de cuidado no território.</t>
  </si>
  <si>
    <t>Realizar Curso de Formação de Tutores Estaduais do Planificação para que possam multiplicar nos municípios, orientando no processo de organização da rede de atenção à saúde</t>
  </si>
  <si>
    <t xml:space="preserve">Realizar Seminário Estadual de Boas Práticas do Planifica Maranhão, com o objetivo de Consolidar o compromisso estadual com a melhoria contínua da qualidade dos serviços, Fomentando a formação de uma rede colaborativa de aprendizagem entre municípios e regiões de saúde. </t>
  </si>
  <si>
    <t xml:space="preserve">Fornecer assistência complementar na Atenção Primária com atendimentos qualificados e humanizados, fortalecendo a cobertura assistencial em comunidades quilombolas, territórios indígenas e populações em situação de vulnerabilidade ou emergência em saúde pública </t>
  </si>
  <si>
    <t>Fortalecer as ações do programa de governo na área da saúde: o Cuidar de Todos e beneficiar os municípios com o suporte da telemedicina, promovendo a eficiência e permitindo melhores desfechos clínicos aos usuários do SUS no Maranhão, permitindo que o primeiro contato, Atenção Primária, atue como filtro resolutivo, evitando o encaminhamento de demanda reprimida.</t>
  </si>
  <si>
    <t>1.1.9.6</t>
  </si>
  <si>
    <t>Regiões Apoiadas</t>
  </si>
  <si>
    <t>Cursos de Formação Realizados</t>
  </si>
  <si>
    <t>Municípios Assistidos</t>
  </si>
  <si>
    <t>Municípios Beneficiados</t>
  </si>
  <si>
    <t xml:space="preserve">Realizar Oficina Saúde Mental na Atenção Primária nas macrorregiões de saúde do estado. </t>
  </si>
  <si>
    <t>Realizar Oficina: processos de trabalho na Redes de Atenção Psicossocial - RAPS nas macrorregiões de saúde do estado.</t>
  </si>
  <si>
    <t>Realizar Oficina de Formação de Redutores de Danos nas macrorregionais de saúde Sul e Leste.</t>
  </si>
  <si>
    <t>Realizar Seminário sobre a Política de Álcool e outras Drogas.</t>
  </si>
  <si>
    <t>Realizar Seminário de Prevenção ao Suicídio.</t>
  </si>
  <si>
    <t xml:space="preserve">Implantar e Implementar o Sistema de Registro Epidemiológico dos Usuários de Saúde Mental (SISMENTAL) nos Centros de Atenção Psicossocial - CAPS. </t>
  </si>
  <si>
    <t>1.1.10.4</t>
  </si>
  <si>
    <t>1.1.10.5</t>
  </si>
  <si>
    <t>1.1.10.6</t>
  </si>
  <si>
    <t>Articular a desinstitucionalização de pacientes em cumprimento de medida de segurança internados em hospitais/clínicas mediante ordem judicial para desinternação, através do retorno à família ou abrigamento.</t>
  </si>
  <si>
    <t>Realizar Avaliações Biopsicossociais de pessoas com suspeita de transtornos mentais em Conflito com a Lei demandadas pelo sistema de justiça.</t>
  </si>
  <si>
    <t>Construir Planos Terapêuticos de Acompanhamento (PTA) de pessoas com transtornos mentais em conflito com a lei que cumprem medida de segurança.</t>
  </si>
  <si>
    <t>Acompanhar pessoas com transtornos mentais que cumprem medidas terapêuticas, através de visitas aos pacientes e familiares.</t>
  </si>
  <si>
    <t>Pacientes Desinstitucionalizados</t>
  </si>
  <si>
    <t>Planos Construídos</t>
  </si>
  <si>
    <t>Pessoas Acompanhadas</t>
  </si>
  <si>
    <t>Realizar capacitações dos profissionais da Atenção Primária à Saúde sobre o manejo, cultivo, coleta, processamento, armazenamento e utilização de plantas medicinais e fitoterápicos.</t>
  </si>
  <si>
    <t>Realizar workshops para a promoção do conhecimento sobres Plantas Medicinais e Fitoterapia.</t>
  </si>
  <si>
    <t>Workshops realizados</t>
  </si>
  <si>
    <t>Apoiar e monitorar os municípios e seus indicadores no âmbito do Programa Cuidar de Todos, por meio de oficinas, webnários, visitas in loco e fórum Macrorregional.</t>
  </si>
  <si>
    <t>Apoiar tecnicamente a implantação do Programa Vigilância em Saúde de Populações Expostas a Agrotóxicos - VSPEA, bem como elaboração do plano de ação nos municípios prioritários definidos pelo Estado e Ministério da Saúde</t>
  </si>
  <si>
    <t>Apoiar as gestões municipais a executarem as ações de controle, cadastro e vigilância da qualidade da água para ampliar o cumprimento da Diretriz Nacional do programa de Vigilância da Qualidade da Água para Consumo Humano (Vigiagua)</t>
  </si>
  <si>
    <t>Apoiar tecnicamente a implantação do Programa de Vigilância de Populações Expostas a Poluentes Atmosféricos - VIGIAR em municípios com maior número de focos de queimadas para identificação de populações mais vulneráveis e recomendação de medidas preventivas</t>
  </si>
  <si>
    <t>Elaborar e divulgar materiais técnicos para apoiar as gestões municipais na proteção da saúde da população potencialmente exposta a riscos ambientais na água, ar e solo</t>
  </si>
  <si>
    <t>Monitorar e analisar dados de notificações de doenças, agravos e indicadores relacionados à Vigilância em Saúde Ambiental para subsidiar a elaboração de materiais técnicos</t>
  </si>
  <si>
    <t>Realizar a qualificação de profissionais da saúde com foco em técnicos da Vigilância em Saúde Ambiental, Agentes comunitários de Saúde e Agentes de Combates de Endemias dos municípios por meio de atividades educativas.</t>
  </si>
  <si>
    <t>1.1.2.5</t>
  </si>
  <si>
    <t>1.1.2.6</t>
  </si>
  <si>
    <t>Realizar apoio matricial e institucional às instâncias da Rede Nacional de Atenção em Saúde do Trabalhador e da Trabalhadora (RENASTT), incluindo os Centros de Referência em Saúde do Trabalhador (Cerests) Regionais, Secretarias Municipais e Núcleos de Saúde do Trabalhador e da Trabalhadora, fortalecendo as ações dos municípios.</t>
  </si>
  <si>
    <t>Desenvolver ações de Vigilância em Saúde do Trabalhador e da Trabalhadora com as populações vulneráveis (campo, floresta e água) em municípios prioritários.</t>
  </si>
  <si>
    <t>Realizar ações educativas e elaboração de materiais de Vigilância em Saúde do Trabalhador e da Trabalhadora (eventos, seminário, palestra, oficina, mobilização social, nota técnica, cartilha, boletins, dentre outras)</t>
  </si>
  <si>
    <t>Qualificar as equipes municipais de Atenção Primária à Saúde (APS) e vigilâncias municipais em notificação, acolhimento e prevenção de agravos relacionados ao trabalho</t>
  </si>
  <si>
    <t>Monitorar e analisar as notificações dos agravos e indicadores em saúde do trabalhador e da trabalhadora nos sistemas de informação (Sistema de Informação de Agravos de Notificação -SINAN, Sistema de Informação sobre Mortalidade - SIM, Programa de Qualificação da Ações de Vigilância em Saúde - PQA-VS, Sistema de Informações Ambulatoriais de Saúde - SIA e Qualifica CEREST)</t>
  </si>
  <si>
    <t>Realizar apoio institucional no processo de implantação de Vigilância em Saúde do Trabalhador e da Trabalhadora Municipal (VISATT), na habilitação de Cerests Regionais e criação de núcleos em saúde do Trabalhador nas esferas municipais e regionais.</t>
  </si>
  <si>
    <t>Realizar ações de fiscalização e inspeções sanitárias em ambientes e processos de trabalho, visando à prevenção de acidentes, doenças ocupacionais e à promoção de ambientes laborais mais seguros.</t>
  </si>
  <si>
    <t>Realizar ações, presenciais ou remotas, de forma sistemática visando a sensibilização dos municípios silenciosos, com oferta de capacitações específicas, articulando com os conselhos de saúde e incentivando à implantação e fortalecimento dos fluxos de notificação dos agravos relacionados ao trabalho.</t>
  </si>
  <si>
    <t>Realizar ações de vigilância em saúde do trabalhador com foco na prevenção e enfrentamento do trabalho em condições análogas à escravidão por macrorregião de saúde.</t>
  </si>
  <si>
    <t>Promover ações de prevenção, preparação e resposta a desastres, com foco na proteção de trabalhadores rurais, da construção civil, pescadores e populações em situação de vulnerabilidade, por macrorregião de saúde</t>
  </si>
  <si>
    <t>1.2.2.7</t>
  </si>
  <si>
    <t>1.2.2.8</t>
  </si>
  <si>
    <t>1.2.2.9</t>
  </si>
  <si>
    <t>1.2.2.10</t>
  </si>
  <si>
    <t>Controlar, monitorar e distribuir receituários e outros registros relacionados a medicamentos de controle especial da Portaria MS 344/1998.</t>
  </si>
  <si>
    <t>Realizar, por meio de inspeção, fiscalização, supervisão, monitoramento, investigação e matriciamento, a notificação regular dos incidentes e eventos adversos de segurança do paciente nos serviços de saúde prioritários (Serviços com leito de Unidades de Tratamento Intensivo - UTI e hemodiálise).</t>
  </si>
  <si>
    <t>Realizar, por meio de inspeção, fiscalização, supervisão, monitoramento, investigação e matriciamento, a implementação do Programa de Prevenção e Controle de Infecção (PCIH) nos hospitais com leitos de UTI adulto, pediátrico e neonatal para o diagnóstico e notificação das Infecções Relacionadas a Assistência à Saúde (IRAS).</t>
  </si>
  <si>
    <t>Realizar ações setoriais e intersetoriais visando a regularização de produtos das agroindústrias familiares sujeitas à Vigilância Sanitária.</t>
  </si>
  <si>
    <t>Implantar os núcleos de vigilância das unidades regionais de saúde para desenvolver as ações de Vigilância Sanitária, Ambiental e Saúde do Trabalhador.</t>
  </si>
  <si>
    <t>Realizar ações educativas presenciais e virtuais de Vigilância Sanitária, mobilização social e educação em saúde nas macrorregionais de saúde.</t>
  </si>
  <si>
    <t>Realizar visitas técnicas nos laboratórios que realizam exames de interesse em saúde pública, visando avaliar o processo de execução dos procedimentos de diagnóstico, para apoiar e fortalecer a vigilância laboratorial no estado.</t>
  </si>
  <si>
    <t>Realizar Seminários para a rede de laboratórios para atualização de conhecimento em vigilância laboratorial e processos de encaminhamento de amostras para diagnóstico, complementação diagnóstica e Avaliação Externa da Qualidade.</t>
  </si>
  <si>
    <t>Realizar capacitações no diagnóstico laboratorial da Hanseníase, Tuberculose, Malária, Doença de Chagas, Filariose, Esquistossomose, Leishmaniose, Coqueluche, Vírus Respiratório, Arboviroses, Infecções Sexualmente Transmissíveis para os profissionais que atuam nos laboratórios municipais.</t>
  </si>
  <si>
    <t>Realizar treinamentos no sistema de informação Gerenciador de Ambiente Laboratorial ¿ GAL para profissionais de saúde que atuam nas vigilâncias.</t>
  </si>
  <si>
    <t>Promover oficinas de qualificação para profissionais que atuarão como multiplicadores em vigilância laboratorial nas unidades regionalizadas do Instituto Oswaldo Cruz - Laboratório Central de Saúde Pública do Estado do Maranhão - IOC/LACEN-MA</t>
  </si>
  <si>
    <t>1.2.4.3</t>
  </si>
  <si>
    <t>1.2.4.4</t>
  </si>
  <si>
    <t>1.2.4.5</t>
  </si>
  <si>
    <t>Realizar exames para diagnóstico e complementação diagnóstica de doenças e agravos de importância em saúde pública, e fornecer dados que subsidiem as ações de vigilância em saúde.</t>
  </si>
  <si>
    <t>Realizar análises laboratoriais de produtos e Meio Ambiente para a detecção ou prevenção de doenças e agravos relacionadas ao seu consumo ou exposição.</t>
  </si>
  <si>
    <t>Monitorar a qualidade dos exames para diagnóstico de doenças de importância em saúde pública realizadas pelos laboratórios que atuam no âmbito estadual.</t>
  </si>
  <si>
    <t>Treinamentos Realizados</t>
  </si>
  <si>
    <t>Exames Realizados</t>
  </si>
  <si>
    <t xml:space="preserve">Realizar ações mensais para garantir a distribuição de imunobiológicos para vacinação humana e animal, nas Unidades Regionais de Saúde e nos municípios da Região Metropolitana </t>
  </si>
  <si>
    <t>Desenvolver ações de acompanhamento das atividades dos Comitês Técnicos municipais no desenvolvimento das ações das Atividades de Vacinação de Alta Qualidade (AVAQ).</t>
  </si>
  <si>
    <t>Realizar Curso de sala de vacina voltado para o microplanejamento das AVAQ voltadas às equipes de saúde.</t>
  </si>
  <si>
    <t>Apoiar os municípios na elaboração, execução e monitoramento dos Planos Municipais de Contingência para arboviroses.</t>
  </si>
  <si>
    <t>Apoiar os municípios na elaboração, execução e monitoramento dos Planos Municipais de Contingência para vírus respiratórios (influenza, COVID-19 e outros).</t>
  </si>
  <si>
    <t>Realizar a distribuição de hipoclorito com o objetivo de reduzir os registros de doenças diarreicas no estado, em consonância com as ações previstas no Plano de Prevenção e Controle das Doenças Diarreicas.</t>
  </si>
  <si>
    <t>Apoiar na implementação de estratégias com foco no fortalecimento de ações de prevenção, diagnóstico, tratamento e monitoramento da doença, dentre os municípios do estado que apresentam as maiores taxas de incidência de tuberculose.</t>
  </si>
  <si>
    <t>Apoiar na implantação de estratégias de busca ativa para suspeição da hanseníase nos municípios do estado que apresentam as menores taxas de detecção da doença.</t>
  </si>
  <si>
    <t>Realizar a distribuição de coleiras e monitorar o processo de encoleiramento de cães nos municípios prioritários pela Nota Técnica Nº 5/2021-CGZV/DEIDT/SVS/MS visando o controle das leishmanioses.</t>
  </si>
  <si>
    <t>Realizar atendimentos de cães e gatos para prevenção de zoonoses por meio do Programa Cuidar de Todos "Saúde Animal"</t>
  </si>
  <si>
    <t>Elaborar Plano estadual contra Esporotricose</t>
  </si>
  <si>
    <t>Elaborar Plano estadual contra Brucelose</t>
  </si>
  <si>
    <t>Realizar cursos de formação de codificação para profissionais de saúde</t>
  </si>
  <si>
    <t>Realizar formação para multiplicadores do curso de codificação</t>
  </si>
  <si>
    <t>Realizar as necrópsias, por meio do Serviço de Verificação de Óbitos - SVO, para determinar a causa de morte natural ocorrido sem assistência médica, ou com assistência médica sem elucidação diagnóstica ou decorrente de doenças de interesse da saúde pública</t>
  </si>
  <si>
    <t>Desenvolver estratégias para a ampliação da atuação municipal, de forma integrada, nas ações de vigilância, monitoramento e controle das doenças crônicas não transmissíveis e seus agravos</t>
  </si>
  <si>
    <t>Realizar Encontro Estadual de Atenção as Doenças Crônicas não Transmissíveis (DCNT).</t>
  </si>
  <si>
    <t>Realizar Seminário em alusão ao Dia Mundial de Conscientização Sobre Doença Falciforme.</t>
  </si>
  <si>
    <t xml:space="preserve">Promover a adesão de unidades de saúde para implantação de Núcleos Hospitalares de Epidemiologia na Rede de Atenção à Saúde no estado </t>
  </si>
  <si>
    <t>Realizar Workshop sobre Emergências em Saúde Pública</t>
  </si>
  <si>
    <t>Realizar oficinas de Apoio à Elaboração dos Planos Municipais de Preparação, Vigilância e Resposta do Setor Saúde aos Desastres Naturais</t>
  </si>
  <si>
    <t>Realizar treinamentos para Epidemiologia Aplicada aos Serviços de Saúde do SUS - EPISUS Fundamental</t>
  </si>
  <si>
    <t>Realizar ações de monitoramento, avaliação in loco das ações de preparação, vigilância e resposta aos eventos de saúde pública e desastres naturais; promoção, prevenção e controle de doenças e agravos no estado.</t>
  </si>
  <si>
    <t>Realizar ações de qualificação para os profissionais de saúde, em base de dados, melhoramento no preenchimento das declarações de óbito, doenças transmissíveis e não transmissíveis, investigação de surtos, imunização e prevenção de doenças</t>
  </si>
  <si>
    <t>Promover ações de mobilização social, seminários de saúde pública, congressos estaduais entre outros.</t>
  </si>
  <si>
    <t>Cursos Realizados</t>
  </si>
  <si>
    <t>Ações</t>
  </si>
  <si>
    <t>Atendimentos</t>
  </si>
  <si>
    <t>Plano Elaborado</t>
  </si>
  <si>
    <t>Necrópsias realizadas</t>
  </si>
  <si>
    <t>Núcleos</t>
  </si>
  <si>
    <t>Workshops</t>
  </si>
  <si>
    <t>1.2.6.19</t>
  </si>
  <si>
    <t>1.2.6.20</t>
  </si>
  <si>
    <t>1.2.6.21</t>
  </si>
  <si>
    <t>1.2.6.22</t>
  </si>
  <si>
    <t>1.2.6.23</t>
  </si>
  <si>
    <t>1.2.6.24</t>
  </si>
  <si>
    <t>1.2.6.25</t>
  </si>
  <si>
    <t>1.2.6.26</t>
  </si>
  <si>
    <t>Promover oficinas regionalizadas sobre novas tecnologias em prevenção combinada do e vigilância epidemiológica do HIV/Aids, sífilis, Hepatites virais, Vírus-T linfotrópico humano do tipo 1 e 2 - HTLV, Mpox e outras Infecções Sexualmente Transmissíveis - IST e apoio institucional (visitas, monitoramento e outros).</t>
  </si>
  <si>
    <t>Promover a Certificação Estadual de Eliminação da Transmissão Vertical de HIV e/ou Sífilis e/ou Hepatite B e/ou HTLV, nos municípios com população maior ou igual a 100 mil habitantes, com meio de oficinas, encontro, apoio institucionais regionalizadas</t>
  </si>
  <si>
    <t>Apoiar a implantação, por meio de oficinas e visitas técnicas, dos Serviços Assistência Especializados (SAE), que atendem pessoas vivendo com HIV/Aids, sífilis, hepatites virais, em municípios prioritários nas políticas de ISTs/Aids e hepatites virais, nas macrorregiões.</t>
  </si>
  <si>
    <t>Realizar encontros para Produzir a Linha de cuidado das sífilis e das hepatites virais, por meio de oficinas, apoio institucionais e reuniões regionalizadas.</t>
  </si>
  <si>
    <t>Realizar o III Encontro Estadual com Municípios prioritários que recebem recursos federais/incentivo para as Políticas de ISTs/Aids e Hepatites Virais e sociedade civil.</t>
  </si>
  <si>
    <t>Apoiar e promover ações (seminários, capacitações, encontros e dentre outros) integradas com Organizações Não Governamentais (ONGs)</t>
  </si>
  <si>
    <t xml:space="preserve">Promover oficinas macrorregionais sobre novas tecnologias para o Diagnóstico do HIV, do Hepatite B - HBV, Hepatite C - HCV, SÍFILIS, Clamídia e Gonorreia (CT/NG) em parceria com o Laboratório Central de Saúde Pública do Maranhão - LACEN. </t>
  </si>
  <si>
    <t>Promover e apoiar a ampliação de testagem point off care (Teste lipoarabinomanano de fluxo lateral na urina - LFLAM e Distribuição TR Antígeno Criptocócico - LFCrag) e o circuito rápido de aids avançada em parceira com o programa estadual de Tuberculose, através de apoio institucional (Oficinas e reuniões)</t>
  </si>
  <si>
    <t>Realizar os procedimentos para aquisição de insumos do elenco estadual e quantitativo de Fórmulas Alimentares Infantis para crianças com alergia e ou intolerância alimentar - Programa Leite Especial.</t>
  </si>
  <si>
    <t xml:space="preserve"> Descentralizar a Farmácia Estadual de Medicamentos Especializados - FEME para os municípios de Santa Inês e Presidente Dutra.</t>
  </si>
  <si>
    <t>Descentralizaçõe Realizada</t>
  </si>
  <si>
    <t>Aquisição de medicamentos do Componente Básico da Assistência Farmacêutica para pessoas privadas de liberdade, conforme estabelecido na portaria GM/MS nº 3.528, de 30 de outubro de 2018.</t>
  </si>
  <si>
    <t>Número de Atendimentos</t>
  </si>
  <si>
    <t>Prestar atendimentos às usuárias que buscam os serviços nos Centros Especializados em Planejamento Reprodutivo.</t>
  </si>
  <si>
    <t>Prestar atendimentos às gestantes de alto risco que buscam os serviços de pré-natal ofertados pelos ambulatórios especializados hospitalares obstétrico e das policlínicas.</t>
  </si>
  <si>
    <t xml:space="preserve">Prestar atendimentos aos egressos de unidades neonatais aos serviços de seguimento ao recém- nascidos (follow up) nos ambulatórios especializados hospitalares pediátrico e das policlínicas </t>
  </si>
  <si>
    <t>Implementar Unidade de Pronto Atendimento - UPA na Regional de Açailândia.</t>
  </si>
  <si>
    <t>Implantar Protocolo de Acidente Vascular Cerebral - AVC nos Hospitais de Barreirinhas, Viana, Carutapera e Codó.</t>
  </si>
  <si>
    <t>Implantar Protocolo de Sepse nas UPAs de Coroatá, Imperatriz, São João dos Patos e Timon.</t>
  </si>
  <si>
    <t>Implantar Protocolo de Infarto Agudo do Miocárdio nas UPAs de Coroatá, Imperatriz, São João dos Patos, Codó e Timon.</t>
  </si>
  <si>
    <t>Realizar Oficinas Temáticas de cuidados de Urgência e Emergência.</t>
  </si>
  <si>
    <t>Implantar Prontuário Eletrônico nas Unidades de Urgência e Emergência do estado.</t>
  </si>
  <si>
    <t>Implantar protocolo de Saúde Mental na Rede de Urgência e Emergência do estado.</t>
  </si>
  <si>
    <t>Implantar fluxo de Síndromes Gripais na Rede de Urgência e Emergência do estado.</t>
  </si>
  <si>
    <t>Inaugurar novas unidades de serviço especializado.</t>
  </si>
  <si>
    <t>Ampliar a oferta de exames complementares (fundoscopia, ecocardiograma e doppler de membros inferiores) em Policlínicas.</t>
  </si>
  <si>
    <t>Realizar oficinas de capacitação sobre Hipertensão Arterial Sistêmica - HAS e Diabetes Mellitus - DM para profissionais da Atenção Ambulatorial Especializada em parceria com a Atenção Primária em Saúde - APS.</t>
  </si>
  <si>
    <t>Implantar protocolo clínico para o Programa de Hipertensão Arterial e Diabetes - Hiperdia no Espaço Diabético</t>
  </si>
  <si>
    <t>Implantar fluxo assistencial para o Programa de Hipertensão Arterial e Diabetes - Hiperdia no Espaço Diabético</t>
  </si>
  <si>
    <t>Solicitar e monitorar a habilitação de 03 serviços de Terapia Renal Substitutiva - TRS</t>
  </si>
  <si>
    <t>Solicitar e monitorar a habilitação de 03 Ambulatórios Especializados em Doença Renal Crônica - DRC.</t>
  </si>
  <si>
    <t>Realizar encontro com todos os serviços da Linha de Cuidado da Pessoa com Doença Renal Crônica - DRC.</t>
  </si>
  <si>
    <t>Expandir o serviço de hemodiálise.</t>
  </si>
  <si>
    <t>Implantar oficina ortopédica na cidade operária para produção de órteses e próteses, ampliando o acesso e reduzindo o tempo de espera dos pacientes.</t>
  </si>
  <si>
    <t>Implantar serviço ambulatorial da fisioterapia pélvica no Centro Especializado em Reabilitação - CER Cidade Operária</t>
  </si>
  <si>
    <t>Implantar serviço ambulatorial da fisioterapia pélvica infantil no Centro de Especialidades Ninar.</t>
  </si>
  <si>
    <t>Instituir protocolo estadual de acesso e regulação dos pacientes neurodivergentes para Fortalecer a Rede Estadual de Atenção à Criança Neurodivergente.</t>
  </si>
  <si>
    <t>Realizar capacitação de integração multiprofissional entre Unidade de Acolhimento - UA, Centro de Atenção Psicossocial - CAPS e Coordenação Estadual da Atenção Primária em Saúde - APS para pactuação de fluxos de continuidade do cuidado.</t>
  </si>
  <si>
    <t>Realizar seminário voltado para o fortalecimento da Rede de Cuidados à Pessoa com Deficiência (RCPD) e Rede de Atenção Psicossocial (RAPS) nas unidades da rede estadual.</t>
  </si>
  <si>
    <t>Elaborar cartilha estadual de prescrição de cadeira de rodas, garantindo qualidade, equidade e segurança ao usuário.</t>
  </si>
  <si>
    <t>Realizar monitoramento da linha de cuidado de epidermólise bolhosa, por meio dos indicadores definidos no protocolo estadual.</t>
  </si>
  <si>
    <t>Acompanhar o número de atendimentos do ambulatório de doenças raras no Hospital da Ilha.</t>
  </si>
  <si>
    <t>Acompanhar o número de atendimentos no Ambulatório Especializado para Transplantes Renais - Instituto do Fígado - INFIG (Núcleo do Fígado)</t>
  </si>
  <si>
    <t>Solicitar e monitorar a habilitação do serviço de cirurgia bariátrica</t>
  </si>
  <si>
    <t>Implantar a linha de cuidado para reversão e acompanhamento de pacientes com colostomia</t>
  </si>
  <si>
    <t>Monitorar o número de pacientes de hanseníase atendidos no serviço de telemedicina do Hospital Dr. Genésio Rego</t>
  </si>
  <si>
    <t>2.1.1.20</t>
  </si>
  <si>
    <t>2.1.1.21</t>
  </si>
  <si>
    <t>2.1.1.22</t>
  </si>
  <si>
    <t>2.1.1.23</t>
  </si>
  <si>
    <t>2.1.1.24</t>
  </si>
  <si>
    <t>2.1.1.25</t>
  </si>
  <si>
    <t>2.1.1.26</t>
  </si>
  <si>
    <t>2.1.1.27</t>
  </si>
  <si>
    <t>2.1.1.28</t>
  </si>
  <si>
    <t>2.1.1.29</t>
  </si>
  <si>
    <t>2.1.1.30</t>
  </si>
  <si>
    <t>2.1.1.31</t>
  </si>
  <si>
    <t>2.1.1.32</t>
  </si>
  <si>
    <t>2.1.1.33</t>
  </si>
  <si>
    <t>Atendimentos Realizados</t>
  </si>
  <si>
    <t>Unidade Implantada</t>
  </si>
  <si>
    <t>Unidades com Protocolo Implantado</t>
  </si>
  <si>
    <t>UPAs</t>
  </si>
  <si>
    <t>Protocolo Implantado</t>
  </si>
  <si>
    <t>Serviços</t>
  </si>
  <si>
    <t>Procedimentos Realizados</t>
  </si>
  <si>
    <t>Oficinas</t>
  </si>
  <si>
    <t>Fluxo Implantado</t>
  </si>
  <si>
    <t>Serviços Habilitados</t>
  </si>
  <si>
    <t>Ambulatórios Habilitados</t>
  </si>
  <si>
    <t>Novas Vagas</t>
  </si>
  <si>
    <t>Oficina Implantada</t>
  </si>
  <si>
    <t>Protocolo Instituído</t>
  </si>
  <si>
    <t>Capacitações</t>
  </si>
  <si>
    <t>Seminário</t>
  </si>
  <si>
    <t>Cartilha Elaborada</t>
  </si>
  <si>
    <t>Relatórios Elaborados</t>
  </si>
  <si>
    <t>Consultas Realizadas</t>
  </si>
  <si>
    <t>Pacientes Atendidos</t>
  </si>
  <si>
    <t>Implementar critérios de acompanhamento da estratégia QUALINEO (Qualificação do Cuidado Neonatal de Risco) em 08 unidades neonatais estaduais</t>
  </si>
  <si>
    <t>Realizar triagens neonatais nos estabelecimentos de saúde com serviços de parto e nascimento de gestão estadual.</t>
  </si>
  <si>
    <t>Solicitar e monitorar a habilitação de leitos de UTI do Hospital Regional de Açailândia</t>
  </si>
  <si>
    <t>Solicitar e monitorar a habilitação de leitos de saúde mental do Hospital Dr. Genésio Rego e Aquiles Lisboa</t>
  </si>
  <si>
    <t>Solicitar e monitorar a habilitação de leitos de obstetrícia do Hospital Regional de Monção</t>
  </si>
  <si>
    <t>Realizar encontro estadual de Segurança do Paciente em setembro de 2026, reunindo profissionais de saúde das unidades da Rede Estadual de Saúde, para alinhamento de práticas, protocolos e estratégias de qualificação assistencial.</t>
  </si>
  <si>
    <t>Monitorar a execução da Meta 01 - Identificação do Paciente, do protocolo de Segurança do Paciente na rede hospitalar estadual</t>
  </si>
  <si>
    <t>Realizar 02 capacitações sobre Gerenciamento de Risco com as equipes do Núcleo de Segurança do Paciente das unidades hospitalares.</t>
  </si>
  <si>
    <t>Realizar 01 Simpósio Estadual em novembro sobre Qualidade nos Serviços de Saúde do Maranhão para discussões acerca de temáticas que perpassam o atendimento hospitalar.</t>
  </si>
  <si>
    <t xml:space="preserve">Promover reconhecimento institucional de 100% das unidades estaduais que alcançarem alta conformidade na Avaliação Nacional das Práticas de Segurança do Paciente (Anvisa), incentivando a cultura de segurança </t>
  </si>
  <si>
    <t xml:space="preserve">Instituir a Comissão de Farmácia e Terapêutica da Secretaria de Estado da Saúde - CFT. </t>
  </si>
  <si>
    <t>Incentivar a participação das unidades de saúde por meio do acompanhamento e da aplicação dos resultados dos projetos do Programa de Apoio ao Desenvolvimento Institucional do Sistema Único de Saúde - PROADI-SUS.</t>
  </si>
  <si>
    <t>2.1.2.6</t>
  </si>
  <si>
    <t>2.1.2.7</t>
  </si>
  <si>
    <t>2.1.2.8</t>
  </si>
  <si>
    <t>2.1.2.9</t>
  </si>
  <si>
    <t>2.1.2.10</t>
  </si>
  <si>
    <t>2.1.2.11</t>
  </si>
  <si>
    <t>2.1.2.12</t>
  </si>
  <si>
    <t>Critérios de acompanhamento implementado</t>
  </si>
  <si>
    <t>Testes de triagem realizados</t>
  </si>
  <si>
    <t>Leitos habilitados</t>
  </si>
  <si>
    <t>Seminário realizado</t>
  </si>
  <si>
    <t>Protocolo 1 implementado</t>
  </si>
  <si>
    <t>Unidades em alta conformidade reconhecidas</t>
  </si>
  <si>
    <t>Comissão Instituída</t>
  </si>
  <si>
    <t>Unidades beneficiadas</t>
  </si>
  <si>
    <t>100%</t>
  </si>
  <si>
    <t>Realizar a entrega de próteses dentárias nas Unidades de Especialidades Odontológicas - SORRIR</t>
  </si>
  <si>
    <t>Realizar procedimentos Odontológicos na Média e Alta complexidade.</t>
  </si>
  <si>
    <t>Realizar encontros com a gestão das Unidades de Especialidades Odontológicas - SORRIR, para avaliação de indicadores e definição de ações estratégicas para melhoria em saúde bucal.</t>
  </si>
  <si>
    <t>Realizar Biopsias para diagnóstico precoce dos pacientes de Bucomaxilofacial do Hospital Dr. Tarquínio Lopes Filho.</t>
  </si>
  <si>
    <t>Implantar Núcleo de Segurança do Paciente (NSP) na Unidade de Especialidade Odontológicas - SORRIR do município de Caxias.</t>
  </si>
  <si>
    <t>Implantar Serviço de Especialidades Odontológicas - SORRIR no município de Imperatriz.</t>
  </si>
  <si>
    <t>Implantar Serviço de Especialidades Odontológicas - SORRIR no município de Balsas</t>
  </si>
  <si>
    <t>Implantar Serviço de Especialidades Odontológicas - SORRIR no município de Barra do Corda.</t>
  </si>
  <si>
    <t>2.1.3.4</t>
  </si>
  <si>
    <t>2.1.3.5</t>
  </si>
  <si>
    <t>2.1.3.6</t>
  </si>
  <si>
    <t>2.1.3.7</t>
  </si>
  <si>
    <t>2.1.3.8</t>
  </si>
  <si>
    <t>Instalações Realizadas</t>
  </si>
  <si>
    <t>Biopsias Realizadas</t>
  </si>
  <si>
    <t>Núcleo Implantado</t>
  </si>
  <si>
    <t>Apresentar relatório de monitoramento e análise dos indicadores gerenciais dos protocolos assistenciais estaduais (Sepse, Infarto Agudo do Miocárdio - IAM, Acidente Vascular Cerebral - AVC), com consolidação semestral dos resultados pelo setor de Qualidade e devolutiva às áreas técnicas responsáveis</t>
  </si>
  <si>
    <t>Realizar 02 (dois) fóruns anuais para análise consolidada dos indicadores dos leitos de Unidade de Terapia Intensiva - UTI e Unidade de Cuidados Intensivos - UCI (leitos complementares) abrangendo 100% das unidades hospitalares estaduais que dispõem de leitos complementares, assegurando que todas as unidades atinjam, no mínimo, 80% de preenchimento dos dados, de forma a garantir a confiabilidade das informações.</t>
  </si>
  <si>
    <t>Relatórios Apresentados</t>
  </si>
  <si>
    <t>Fóruns Realizados</t>
  </si>
  <si>
    <t>Acompanhar a validação dos protocolos clínicos e de acesso e diretrizes terapêuticas para consultas e exames especializados.</t>
  </si>
  <si>
    <t>Capacitar profissionais envolvidos no processo de regulação</t>
  </si>
  <si>
    <t>Reduzir o percentual de absenteísmo nos procedimentos ambulatoriais nas unidades de saúde do estado.</t>
  </si>
  <si>
    <t>Reduzir o tempo médio de espera para consultas e exames regulados, por meio de triagens das filas de espera, mutirões e ampliação da oferta no Plano de Trabalho das unidades de saúde do estado.</t>
  </si>
  <si>
    <t>Implantar Núcleos de Apoio à Gestão - NAG nas macrorregiões.</t>
  </si>
  <si>
    <t>Protocolos Validados</t>
  </si>
  <si>
    <t>Percentual Reduzido</t>
  </si>
  <si>
    <t>2.1.5.5</t>
  </si>
  <si>
    <t>Implantar fluxos de acesso e fichas padronizadas para sistematizar a solicitação de leitos de internação.</t>
  </si>
  <si>
    <t>Qualificar as equipes dos Núcleos Internos de Regulação - NIR quanto aos processos regulatórios.</t>
  </si>
  <si>
    <t>Implantar painel de indicadores de internação hospitalar nos hospitais da rede estadual.</t>
  </si>
  <si>
    <t>Solicitações de Leitos Recebidas</t>
  </si>
  <si>
    <t>Qualificar condutores e equipes de apoio e suporte básico de vida, segurança e biossegurança.</t>
  </si>
  <si>
    <t>Qualificar quanto ao transporte seguro as equipes de regulação de transporte sanitário e terrestre.</t>
  </si>
  <si>
    <t>Elaborar e implementar plano de manutenção preventiva da frota e equipamentos, incluindo oxigênio, monitores e ventiladores portáteis.</t>
  </si>
  <si>
    <t>Equipes Qualificadas</t>
  </si>
  <si>
    <t>Oficinas de Qualificação realizadas</t>
  </si>
  <si>
    <t>Disponibilizar diárias de ajuda de custo (alimentação e pernoite) para pacientes devidamente cadastrados no Tratamentos Fora do Domicílio - TFD, bem como para o acompanhante quando necessário.</t>
  </si>
  <si>
    <t>Qualificar e apoiar as áreas técnicas nas 19 regiões de saúde, para resolutividade de processos de TFD.</t>
  </si>
  <si>
    <t>Incentivar a implantação do serviço social para consulta especializada nas regiões de saúde de forma a garantir o encaminhamento efetivo do paciente de TFD.</t>
  </si>
  <si>
    <t>Garantir a continuidade do acesso ao Tratamento Fora do Domicílio.</t>
  </si>
  <si>
    <t>Disponibilizar o deslocamento dos pacientes devidamente cadastrados no TFD, por meio de emissões de bilhetes aéreos e/ou terrestres, bem como para acompanhantes quando necessário.</t>
  </si>
  <si>
    <t>Garantir benefícios de assistência funerária aos pacientes devidamente cadastrados no TFD, por meio do deslocamento aéreo e/ou terrestre, desembaraço de documentação para embarque, vestimentas, preparação do corpo e urna funerária.</t>
  </si>
  <si>
    <t>Diárias disponibilizadas</t>
  </si>
  <si>
    <t>Regiões beneficiadas</t>
  </si>
  <si>
    <t>Processos Formalizados e analisados</t>
  </si>
  <si>
    <t>Bilhetes Disponibilizados</t>
  </si>
  <si>
    <t>Assistências Fomentadas</t>
  </si>
  <si>
    <t>Contratualizar estabelecimentos de saúde de natureza pública, privada e/ou conveniadas, que realizam atendimentos às pessoas que demandam os serviços de assistência de média e alta complexidade ambulatorial e hospitalar de forma complementar à rede de Saúde estadual.</t>
  </si>
  <si>
    <t>Acompanhar a produção mensal do atendimento ambulatorial e hospitalar de média e alta complexidade aos usuários do SUS por intermédio dos estabelecimentos de saúde de natureza privadas e filantrópica contratualizados</t>
  </si>
  <si>
    <t>Avaliar e monitorar a produção apresentada pelos Serviços de Oncologia Centro de Assistência de Alta Complexidade em Oncologia - CACON e Unidade de Alta Complexidade em Oncologia - UNACON Contratualizadas.</t>
  </si>
  <si>
    <t xml:space="preserve">Monitorar a execução das metas físicas realizadas pelas Associações de Pais e Amigos dos Excepcionais (APAE) contratualizadas. </t>
  </si>
  <si>
    <t>Estabelecimentos contratualizados</t>
  </si>
  <si>
    <t>Procedimentos realizados</t>
  </si>
  <si>
    <t xml:space="preserve">Acompanhar e monitorar a melhoria e continuidade das bases descentralizadas dos Serviços Móvel de Urgência e Emergência habilitados pelo Ministério da Saúde e aprovados pelo Estado. </t>
  </si>
  <si>
    <t>Acompanhar os relatórios quadrimestrais de atividades e funcionamento das Centrais de Regulação das Urgências (CRU) e Bases Descentralizadas dos Serviços Móvel de Urgência e Emergência aprovados pelo Estado.</t>
  </si>
  <si>
    <t>SAMUs implantados</t>
  </si>
  <si>
    <t>Relatórios acompanhados</t>
  </si>
  <si>
    <t>Capacitar profissionais para identificação de pacientes em suspeita de morte encefálica</t>
  </si>
  <si>
    <t>Fortalecer as atividades realizadas pelas Comissões Intra-Hospitalares de Doação de Órgãos e Tecidos para Transplantes - CIHDOTTS</t>
  </si>
  <si>
    <t>Monitorar a realização das buscas ativas de pacientes em suspeita de morte encefálica realizadas pelas Organizações de Procura de Órgãos - OPOs e CIHDOTTS</t>
  </si>
  <si>
    <t>CIHDOTTS fortalecidas</t>
  </si>
  <si>
    <t>Buscas ativas monitoradas</t>
  </si>
  <si>
    <t>Qualificar profissionais para o cuidado de pacientes em morte encefálica e suas famílias.</t>
  </si>
  <si>
    <t>Implantar a Organização de Procura de Órgãos - OPO em Presidente Dutra</t>
  </si>
  <si>
    <t>Promover ações educativas para a população em geral sobre doação e transplantes de órgãos e tecidos.</t>
  </si>
  <si>
    <t>OPO implantada</t>
  </si>
  <si>
    <t>Aumentar em 30% o número de transplante de córnea da meta prevista em 2024.</t>
  </si>
  <si>
    <t>Aumentar em 30% o número de transplante de órgãos sólidos da meta de 35 prevista para o ano</t>
  </si>
  <si>
    <t>Monitorar os Centros Transplantadores no que se refere às consultas ambulatoriais pré e pós transplante.</t>
  </si>
  <si>
    <t>Aperfeiçoar médicos das equipes transplantadoras para o aproveitamento de órgãos</t>
  </si>
  <si>
    <t>2.2.3.4</t>
  </si>
  <si>
    <t>Transplantes Realizados</t>
  </si>
  <si>
    <t>Centros Monitorados</t>
  </si>
  <si>
    <t>Captar e fazer triagem de candidatos a doação de sangue</t>
  </si>
  <si>
    <t>Coletar Bolsas de Sangue</t>
  </si>
  <si>
    <t>Fracionar o sangue para a produção de hemocomponentes</t>
  </si>
  <si>
    <t>Ampliar o número de procedimentos hemoterápicos por meio de implantação de Hemonúcleo de Colinas.</t>
  </si>
  <si>
    <t>Ampliar o número de procedimentos hemoterápicos por meio de implantação do Hemonúcleo de Chapadinha.</t>
  </si>
  <si>
    <t>Ampliar o número de procedimentos hemoterápicos por meio de implantação do Hemonúcleo de Grajaú.</t>
  </si>
  <si>
    <t>Ampliar o número de procedimentos hemoterápicos por meio de implantação do Hemonúcleo de Presidente Dutra</t>
  </si>
  <si>
    <t>Qualificar o atendimento aos doadores e pacientes com a implantação de sistema de senhas.</t>
  </si>
  <si>
    <t>Qualificar o atendimento aos doadores e pacientes com a implantação de Painéis Eletrônicos de Atendimento na Coleta e Ambulatório</t>
  </si>
  <si>
    <t>2.3.1.4</t>
  </si>
  <si>
    <t>2.3.1.5</t>
  </si>
  <si>
    <t>2.3.1.6</t>
  </si>
  <si>
    <t>2.3.1.7</t>
  </si>
  <si>
    <t>2.3.1.8</t>
  </si>
  <si>
    <t>2.3.1.9</t>
  </si>
  <si>
    <t>Candidatos</t>
  </si>
  <si>
    <t>Bolsas</t>
  </si>
  <si>
    <t>Hemocomponentes</t>
  </si>
  <si>
    <t>Procedimentos</t>
  </si>
  <si>
    <t>Sistema</t>
  </si>
  <si>
    <t>Painéis</t>
  </si>
  <si>
    <t>Realizar consultas hematológicas</t>
  </si>
  <si>
    <t>Realizar consultas pediátricas</t>
  </si>
  <si>
    <t xml:space="preserve">Realizar consultas em clínica médica </t>
  </si>
  <si>
    <t>Consultas</t>
  </si>
  <si>
    <t>Realizar atendimentos de serviço social a pessoas com hemopatias</t>
  </si>
  <si>
    <t>Realizar atendimentos odontológicos a pessoas com hemopatias</t>
  </si>
  <si>
    <t>Realizar atendimentos psicológicos a pessoas com hemopatias</t>
  </si>
  <si>
    <t>Realizar atendimentos farmacêuticos a pessoas com hemopatias</t>
  </si>
  <si>
    <t>Realizar atendimentos fisioterapêuticos a pessoas com hemopatias</t>
  </si>
  <si>
    <t>Realizar atendimentos de nutrição a pessoas com hemopatias</t>
  </si>
  <si>
    <t>Realizar atendimentos do enfermeiro a pessoas com hemopatias</t>
  </si>
  <si>
    <t>Realizar teste sorológicos em amostra de doadores e pessoas com hemopatias</t>
  </si>
  <si>
    <t>Realizar exames imunohematológicos em amostra de doadores e pessoas com hemopatias</t>
  </si>
  <si>
    <t>Realizar exames hematológicos em amostra de doadores e pessoas com hemopatias</t>
  </si>
  <si>
    <t>Realizar exames bioquímicos em amostra de pessoas com hemopatias</t>
  </si>
  <si>
    <t>Realizar exames microbiológicos em amostra de doadores</t>
  </si>
  <si>
    <t xml:space="preserve">Implantar o serviço Navegador Oncológico nas unidades Hospital Tarquínio Lopes Filho e Everaldo Ferreira Aragão </t>
  </si>
  <si>
    <t>Testes</t>
  </si>
  <si>
    <t>Exames</t>
  </si>
  <si>
    <t>Unidades com serviço implantado</t>
  </si>
  <si>
    <t>Realizar mutirões de cirurgias oncológicas.</t>
  </si>
  <si>
    <t>Cirurgias realizadas</t>
  </si>
  <si>
    <t>Adquirir itens para inauguração do banco de leite do Hospital Alarico Nunes Pacheco - Timon</t>
  </si>
  <si>
    <t>Modernizar unidades de saúde, contemplando-as com equipamentos, mobiliários e instrumentais atualizados, visando a substituição de itens inservíveis.</t>
  </si>
  <si>
    <t>Adquirir equipamentos novos para reforma/modernização da UTI do Hospital Genésio Rego</t>
  </si>
  <si>
    <t>Modernizar o Hospital de Referência de Doenças Tropicais - Presidente Vargas.</t>
  </si>
  <si>
    <t>Adquirir materiais para o retorno de serviços obstétricos no Hospital Regional de Monção</t>
  </si>
  <si>
    <t>Modernizar a Agência Transfusional de Presidente Vargas</t>
  </si>
  <si>
    <t>Modernizar as Agencias Transfusionais e Hemonúcleos</t>
  </si>
  <si>
    <t>Equipar hospitais de alta complexidade ou serviços especializados equipados.</t>
  </si>
  <si>
    <t>Equipar o Hospital da Região Tocantina</t>
  </si>
  <si>
    <t>Equipar novas UTIs no Hospital da Ilha</t>
  </si>
  <si>
    <t>Equipar o setor de hemodinâmica do Hospital da Ilha</t>
  </si>
  <si>
    <t>Equipar o bunker de radioterapia</t>
  </si>
  <si>
    <t>Equipar nova UPA do João Paulo</t>
  </si>
  <si>
    <t>Modernização da UTI da UPA de Presidente Dutra</t>
  </si>
  <si>
    <t>Modernizar unidades de saúde, contemplando-as com equipamentos, mobiliários e instrumentais atualizados, visando a substituição de itens inservíveis</t>
  </si>
  <si>
    <t>Modernizar o Centro de Especialidades Ninar.</t>
  </si>
  <si>
    <t>Equipar Policlínica de Coelho Neto</t>
  </si>
  <si>
    <t>Equipar SORRIR de Balsas</t>
  </si>
  <si>
    <t>Equipar SORRIR de Barra do Corda</t>
  </si>
  <si>
    <t>Equipar SORRIR de Imperatriz</t>
  </si>
  <si>
    <t>Equipar Centro de Hemodiálise de Viana</t>
  </si>
  <si>
    <t>Equipar Centro de Hemodiálise de Colinas</t>
  </si>
  <si>
    <t>Equipar Centro de Hemodiálise de Lago da Pedra</t>
  </si>
  <si>
    <t xml:space="preserve">Equipar Centro de Hemodiálise de Santa Luzia do Paruá </t>
  </si>
  <si>
    <t>Equipar Centro de Hemodiálise de Barra do Corda</t>
  </si>
  <si>
    <t>2.5.2.15</t>
  </si>
  <si>
    <t>2.5.2.16</t>
  </si>
  <si>
    <t>2.5.2.17</t>
  </si>
  <si>
    <t>2.5.2.18</t>
  </si>
  <si>
    <t>2.5.2.19</t>
  </si>
  <si>
    <t>2.5.2.20</t>
  </si>
  <si>
    <t>2.5.2.21</t>
  </si>
  <si>
    <t>2.5.2.22</t>
  </si>
  <si>
    <t>2.5.2.23</t>
  </si>
  <si>
    <t>2.5.2.24</t>
  </si>
  <si>
    <t>2.5.2.25</t>
  </si>
  <si>
    <t>2.5.2.26</t>
  </si>
  <si>
    <t>2.5.2.27</t>
  </si>
  <si>
    <t>2.5.2.28</t>
  </si>
  <si>
    <t>2.5.2.29</t>
  </si>
  <si>
    <t>2.5.2.30</t>
  </si>
  <si>
    <t>2.5.2.31</t>
  </si>
  <si>
    <t>2.5.2.32</t>
  </si>
  <si>
    <t>2.5.1.12</t>
  </si>
  <si>
    <t>2.5.1.13</t>
  </si>
  <si>
    <t>2.5.1.14</t>
  </si>
  <si>
    <t>2.5.1.15</t>
  </si>
  <si>
    <t>2.5.1.16</t>
  </si>
  <si>
    <t>2.5.1.17</t>
  </si>
  <si>
    <t>2.5.1.18</t>
  </si>
  <si>
    <t>Ampliar e modernizar Hospital Materno Infantil de Imperatriz</t>
  </si>
  <si>
    <t>Implantar Centro de Hemodiálise Colinas</t>
  </si>
  <si>
    <t>Reformar UTI Genésio Rêgo</t>
  </si>
  <si>
    <t>Reformar CME e Clínica Médica Aquiles Lisboa</t>
  </si>
  <si>
    <t>Reformar Hospital de Referência de Doenças Tropicais- Presidente Vargas</t>
  </si>
  <si>
    <t>Adequar a estrutura física do Centro de Especialidades Ninar atendendo pessoas com deficiência física, intelectual e síndromes raras</t>
  </si>
  <si>
    <t>Reestruturar o espaço físico do Programa Leite Especial na Unidade de atendimento Hospital Infantil Dr. Juvêncio Matos</t>
  </si>
  <si>
    <t>Implantar Centro de Hemodiálise de Viana</t>
  </si>
  <si>
    <t>Implantar Centro de Hemodiálise de Lago da Pedra</t>
  </si>
  <si>
    <t>Implantar Centro de Hemodiálise de Santa Luzia do Paruá</t>
  </si>
  <si>
    <t>Implantar Centro de Hemodiálise de Barra do Corda</t>
  </si>
  <si>
    <t>Implantar Policlínica de Coelho Neto</t>
  </si>
  <si>
    <t>Implantar Oficina Ortopédica - ECR.</t>
  </si>
  <si>
    <t>Ampliação/Reforma UPA Parque Vitória</t>
  </si>
  <si>
    <t>Ampliação/Reforma UPA Paço do Lumiar</t>
  </si>
  <si>
    <t>Ampliação/Reforma UPA Araçagy</t>
  </si>
  <si>
    <t>Ampliação/Reforma UPA Bacanga</t>
  </si>
  <si>
    <t>Ampliação/Reforma UPA Vinhais</t>
  </si>
  <si>
    <t>Obra Realizada</t>
  </si>
  <si>
    <t>Unidade Equipada</t>
  </si>
  <si>
    <t>Unidades Equipadas</t>
  </si>
  <si>
    <t>Hemonúcleos e Agências Transfusionais equipadas</t>
  </si>
  <si>
    <t>Hospitais equipados</t>
  </si>
  <si>
    <t>Hospital Equipado</t>
  </si>
  <si>
    <t>UTIs Equipadas</t>
  </si>
  <si>
    <t>Setor Equipado</t>
  </si>
  <si>
    <t>Bunker Equipado</t>
  </si>
  <si>
    <t>UPA equipada</t>
  </si>
  <si>
    <t>UPAs equipada</t>
  </si>
  <si>
    <t>Unidade equipada</t>
  </si>
  <si>
    <t>Policlínicas equipadas</t>
  </si>
  <si>
    <t>Promover capacitação das regionais de saúde sobre os Instrumentos de Planejamento do SUS.</t>
  </si>
  <si>
    <t>Realizar oficinas de apoio aos municípios para elaboração e monitoramento dos Instrumentos de Planejamento.</t>
  </si>
  <si>
    <t>Realizar oficinas do projeto de Fortalecimento da Função Gestora da SES na Consolidação do SUS - FortaleceSES</t>
  </si>
  <si>
    <t>Realizar oficina para construção da Programação Anual de Saúde de 2027.</t>
  </si>
  <si>
    <t>Realizar Seminário de Planejamento Estratégico na Saúde.</t>
  </si>
  <si>
    <t>3.1.1.1</t>
  </si>
  <si>
    <t>3.1.1.2</t>
  </si>
  <si>
    <t>3.1.1.3</t>
  </si>
  <si>
    <t>3.1.1.4</t>
  </si>
  <si>
    <t>3.1.1.5</t>
  </si>
  <si>
    <t>3.1.2.1</t>
  </si>
  <si>
    <t>Realizar oficinas de parametrização, fluxo de referência e programação das ações e serviços de saúde.</t>
  </si>
  <si>
    <t>Ações macrorregionais realizadas</t>
  </si>
  <si>
    <t>3.1.3.1</t>
  </si>
  <si>
    <t>Realizar auditoria de Conformidade das AIHs e APACs</t>
  </si>
  <si>
    <t>Realizar auditoria das Unidades de Saúde da Rede Estadual</t>
  </si>
  <si>
    <t>Realizar auditoria de Políticas Públicas em Áreas Temáticas</t>
  </si>
  <si>
    <t>Realizar apoio a Implantação do Componente Municipal de Auditoria</t>
  </si>
  <si>
    <t>Realizar auditoria de Apuração de Denúncias</t>
  </si>
  <si>
    <t>Realizar monitoramento das Recomendações de Auditoria</t>
  </si>
  <si>
    <t>Auditorias realizadas</t>
  </si>
  <si>
    <t>3.1.3.2</t>
  </si>
  <si>
    <t>3.1.3.3</t>
  </si>
  <si>
    <t>3.1.3.4</t>
  </si>
  <si>
    <t>3.1.3.5</t>
  </si>
  <si>
    <t>3.1.3.6</t>
  </si>
  <si>
    <t>3.1.4.1</t>
  </si>
  <si>
    <t>Realizar visita técnica para inclusão e atualização do Cadastro Nacional de Estabelecimentos de Saúdes - CNES das Unidades de Saúde de Média e Alta Complexidade</t>
  </si>
  <si>
    <t>Realizar acompanhamento das Ações e Serviços da Rede de Atenção às Urgências (Unidades de Pronto Atendimento - UPA, Serviço de Atendimento Móvel de Urgência - SAMU, Atenção Domiciliar, Hospitais de Porta de Entrada e Leitos de Retaguarda)</t>
  </si>
  <si>
    <t>Realizar monitoramento, pelos gestores e fiscais de contratos, da execução das programações pactuadas e ações previstas nos contratos e convênios firmados pela Secretaria de Estado da Saúde com os estabelecimentos da Rede Privada e Filantrópica, que prestam serviços de média e alta complexidade</t>
  </si>
  <si>
    <t>Verificar mensalmente o cumprimento das metas pactuadas para a prestação de serviços hospitalares nas Unidades de Saúde geridas por Organização Social ¿ OS e Empresa Maranhense de Serviços Hospitalares - EMSERH.</t>
  </si>
  <si>
    <t>Realizar o monitoramento mensal e verificar a evolução dos indicadores assistenciais previstos nos Planos de Trabalho firmados entre a Secretaria de Estado da Saúde, OS e EMSERH</t>
  </si>
  <si>
    <t>Verificar trimestralmente o cumprimento das metas de produção assistencial pactuadas nos Planos de Trabalho, de cada unidade de saúde, por meio dos Relatórios Gerenciais mensais emitidos pelas contratadas.</t>
  </si>
  <si>
    <t>Visitas Realizadas</t>
  </si>
  <si>
    <t>Relatórios</t>
  </si>
  <si>
    <t>Indicadores assistenciais</t>
  </si>
  <si>
    <t>3.1.4.2</t>
  </si>
  <si>
    <t>3.1.4.3</t>
  </si>
  <si>
    <t>3.1.4.4</t>
  </si>
  <si>
    <t>3.1.4.5</t>
  </si>
  <si>
    <t>3.1.4.6</t>
  </si>
  <si>
    <t>Apoiar a implantação de Ouvidorias do SUS no Estado.</t>
  </si>
  <si>
    <t>Capacitar as Regiões de Saúde de Codó, Timon, Zé Doca, Viana, Pres. Dutra, S. J. Patos, Barra do Corda e Pinheiro.</t>
  </si>
  <si>
    <t>Visitas às Regiões de Saúde capacitadas em 2025 (Bacabal, Açailândia, Imperatriz, Itapecuru, Rosário, Balsas, Chapadinha, Santa Inês, Pedreiras e Caxias) para reuniões de monitoramento da Ouvidorias implantadas nessas Regiões.</t>
  </si>
  <si>
    <t>Visita Técnica à 28 Unidades de Saúde, da capital, administradas pelo Estado para monitoramento dos pontos focais.</t>
  </si>
  <si>
    <t>3.1.5.1</t>
  </si>
  <si>
    <t>Municípios</t>
  </si>
  <si>
    <t>Viagens para reuniões de monitoramento</t>
  </si>
  <si>
    <t>Visitas</t>
  </si>
  <si>
    <t>Desenvolver painéis de dados, por meio de gestão colaborativa, para a plataforma Monitora Saúde, voltada para gestores, profissionais e cidadãos</t>
  </si>
  <si>
    <t>Desenvolver Sistema de Informação em Saúde - SIS, conforme demanda das áreas técnicas.</t>
  </si>
  <si>
    <t>Elaborar e publicar documento institucional para assegurar proteção de dados pessoais nas plataformas digitais de Tecnologia da Informação e Comunicação (TIC) no SUS.</t>
  </si>
  <si>
    <t>Fortalecer a Saúde Digital no Sistema Único de Saúde por meio de ações educativas voltadas aos profissionais de saúde e gestores.</t>
  </si>
  <si>
    <t>3.1.6.1</t>
  </si>
  <si>
    <t>3.1.6.2</t>
  </si>
  <si>
    <t>3.1.6.3</t>
  </si>
  <si>
    <t>3.1.6.4</t>
  </si>
  <si>
    <t>Painéis Desenvolvidos</t>
  </si>
  <si>
    <t>Sistema Desenvolvido</t>
  </si>
  <si>
    <t>Documento Elaborado</t>
  </si>
  <si>
    <t>Qualificar profissionais por meio de Oficinas de Metodologias Ativas.</t>
  </si>
  <si>
    <t>Realizar Congressos, Workshop, Simpósio e Conferências para integração de experiência exitosas entre municípios e Estado.</t>
  </si>
  <si>
    <t>Ofertar cursos de formação, capacitação, qualificação e aperfeiçoamento, em diferentes modalidades (presencial, híbrida e autoinstrucional), destinados a trabalhadores da saúde, gestores e à sociedade civil organizada.</t>
  </si>
  <si>
    <t>Realizar Oficinas de Educação Permanente e Educação Popular em Saúde, voltadas a trabalhadores e trabalhadoras do SUS e à sociedade civil organizada para as Regionais de Saúde</t>
  </si>
  <si>
    <t xml:space="preserve">Capacitar trabalhadores da saúde quanto ao manuseio plataforma de ensino da Escola de Saúde Pública </t>
  </si>
  <si>
    <t>Realizar o IV Simpósio de Educação Permanente (NEP) da Rede Estadual.</t>
  </si>
  <si>
    <t xml:space="preserve">Realizar o 2º Encontro das Instituições de Ensino conveniadas com a SES/MA. </t>
  </si>
  <si>
    <t>Realizar visitas de monitoramento e acompanhamento in loco dos campos de estágio da Rede Estadual</t>
  </si>
  <si>
    <t>Realizar ofertas educacionais voltadas para preceptores, tutores e coordenadores de Residências em Saúde.</t>
  </si>
  <si>
    <t>3.2.1.1</t>
  </si>
  <si>
    <t>Profissionais Qualificados e Certificados</t>
  </si>
  <si>
    <t>Participantes Certificados</t>
  </si>
  <si>
    <t>Participantes qualificados e certificados</t>
  </si>
  <si>
    <t>Qualificar Trabalhadores do SUS e da educação em autismo e outras neurodiversidades</t>
  </si>
  <si>
    <t>Qualificar trabalhadores do SUS em Gestão de Redes de Atenção à Saúde</t>
  </si>
  <si>
    <t>Qualificar trabalhadores do SUS em Vigilância em Saúde</t>
  </si>
  <si>
    <t>Qualificar profissionais da saúde na modalidade residências em saúde</t>
  </si>
  <si>
    <t>Qualificar trabalhadores do SUS em Gestão Hospitalar</t>
  </si>
  <si>
    <t>3.2.2.1</t>
  </si>
  <si>
    <t>Participantes Qualificados e Certificados</t>
  </si>
  <si>
    <t>Realizar o censo da força de trabalho do SUS, no estado como um todo, através do mapeamento de trabalhadores e unidade de saúde, de acordo com os dados obtidos junto às fontes oficiais (IBGE, CNES e Receita Federal)</t>
  </si>
  <si>
    <t>Dimensionar a força de trabalho nas 11 UPAS da rede estadual</t>
  </si>
  <si>
    <t>Ampliar a atuação do Projeto QualiSES Cuidando de quem Cuida para as Unidades de Saúde da Rede Estadual, localizadas na capital</t>
  </si>
  <si>
    <t>3.2.3.1</t>
  </si>
  <si>
    <t>3.2.3.2</t>
  </si>
  <si>
    <t>3.2.3.3</t>
  </si>
  <si>
    <t>Força de trabalho do SUS mapeada no estado</t>
  </si>
  <si>
    <t>Força de trabalho nas UPAs dimensionada</t>
  </si>
  <si>
    <t>Unidades da rede estadual de saúde localizadas na capital</t>
  </si>
  <si>
    <t>3.3.1.1</t>
  </si>
  <si>
    <t>Apoiar a qualificação da planificação por meio de tutores regionais, fortalecendo a Atenção Primária à Saúde nos municípios maranhenses, com a realização de 5 oficinas tutoriais por região de saúde</t>
  </si>
  <si>
    <t>Capacitar os municípios e oferecer apoio técnico para o alcance dos indicadores do programa Cuidar de Todos, por meio da realização de 1 oficina de indicadores em cada região de saúde.</t>
  </si>
  <si>
    <t>Realizar oficinas com gestores das Unidades Regionais de Saúde (URS) para acompanhamento e monitoramento dos resultados previstos e alcançados nos respectivos Planos de Trabalho.</t>
  </si>
  <si>
    <t>Apoiar a organização das reuniões plenárias das Comissões Intergestores Regionais (CIR), garantindo sua realização mensal em todas as regiões de saúde</t>
  </si>
  <si>
    <t>Realizar, no mínimo, 6 reuniões anuais dos Comitês de Prevenção da Mortalidade Materna, Infantil e Fetal em cada região de saúde.</t>
  </si>
  <si>
    <t>Realizar a distribuição de insumos e imunobiológicos destinados aos municípios de todas as regiões de saúde.</t>
  </si>
  <si>
    <t>Desenvolver ações de qualificação e monitoramento para o fortalecimento da vigilância em saúde, abrangendo o controle de arboviroses e vírus respiratórios, a melhoria dos sistemas SIM, SINASC e SINAN, além da resposta a situações de emergência em saúde pública.</t>
  </si>
  <si>
    <t>Reuniões realizadas</t>
  </si>
  <si>
    <t>Distribuições realizadas</t>
  </si>
  <si>
    <t>Ações realizadas</t>
  </si>
  <si>
    <t>3.3.1.2</t>
  </si>
  <si>
    <t>3.3.1.3</t>
  </si>
  <si>
    <t>3.3.1.4</t>
  </si>
  <si>
    <t>3.3.1.5</t>
  </si>
  <si>
    <t>3.3.1.6</t>
  </si>
  <si>
    <t>3.3.1.7</t>
  </si>
  <si>
    <t>Realizar oficinas e Workshop de Comissões Intersetoriais de Saúde do Trabalhador e da Trabalhadora (CISTT) Municipais do Maranhão para a implantação/implementação de Comissões Intersetoriais de STT (Saúde do Trabalhador e da Trabalhadora) em Conselhos Municipais de Saúde).</t>
  </si>
  <si>
    <t>Realizar Oficinas Participa+, plenárias, campanhas informativas e curso EaD para fortalecer o controle social no SUS.</t>
  </si>
  <si>
    <t>Realizar visitas guiadas para fins de monitoramento da execução da Política Estadual de Saúde (ações, serviços de Saúde e a gestão do SUS).</t>
  </si>
  <si>
    <t>3.3.2.1</t>
  </si>
  <si>
    <t>3.3.2.2</t>
  </si>
  <si>
    <t>3.3.2.3</t>
  </si>
  <si>
    <t>Apoiar a criação de Conselhos Municipais sobre Drogas, com oficinas de educação permanente.</t>
  </si>
  <si>
    <t>Monitorar o Plano Estadual sobre Drogas</t>
  </si>
  <si>
    <t>Monitorar os serviços da Rede de Atenção Psicossocial (RAPS) e comunidades terapêuticas</t>
  </si>
  <si>
    <t>Implantar o Sistema Estadual de Políticas Sobre Drogas.</t>
  </si>
  <si>
    <t>Realizar Pré-Conferências Macrorregionais sobre Drogas.</t>
  </si>
  <si>
    <t>Realizar a Conferência Estadual de Políticas sobre Drogas.</t>
  </si>
  <si>
    <t>3.3.3.1</t>
  </si>
  <si>
    <t>3.3.3.2</t>
  </si>
  <si>
    <t>3.3.3.3</t>
  </si>
  <si>
    <t>3.3.3.4</t>
  </si>
  <si>
    <t>3.3.3.5</t>
  </si>
  <si>
    <t>3.3.3.6</t>
  </si>
  <si>
    <t>Conselhos Apoiados</t>
  </si>
  <si>
    <t>Monitoramentos realizados</t>
  </si>
  <si>
    <t>Sistema Implantado</t>
  </si>
  <si>
    <t>Pré-conferências realizadas</t>
  </si>
  <si>
    <t>Conferência Realizada</t>
  </si>
  <si>
    <t>4.1.1.1</t>
  </si>
  <si>
    <t>Premiar os municípios com o alcance dos melhores indicadores do Programa Cuidar de Todos.</t>
  </si>
  <si>
    <t>4.1.2.1</t>
  </si>
  <si>
    <t>Transferência mensal de recurso financeiro da contrapartida estadual aos 217 municípios para aquisição dos medicamentos e insumos do componente básico da Assistência Farmacêutica conforme Portaria GM/MS nº 1.555 de 30/07/2013, Portaria nº 3.193/GM/MS de 09/12/2019 e Pactuação na comissão intergestores Bipartite CIB/MA, conforme resolução nº 96/2014 de 23 de maio de 2014.</t>
  </si>
  <si>
    <t>Municípios Premiados</t>
  </si>
  <si>
    <t>4.1.3.1</t>
  </si>
  <si>
    <t>Realizar duas compras compartilhadas de medicamentos pelo Consórcio Brasil Central</t>
  </si>
  <si>
    <t>Compras</t>
  </si>
  <si>
    <t>Realizar transferência de recursos financeiros da Contrapartida Estadual para custeio do componente SAMU 192, aprovado pelo Estado e habilitado pelo Ministério da Saúde, em consonância a Portaria de Consolidação nº 3, de 28 de setembro de 2017 e Portaria nº 958, de 17 de Julho de 2023, que define que as despesas de custeio mensal do componente SAMU 192 são de responsabilidade compartilhada, de forma tripartite, entre a União, os estados, o Distrito Federal e os municípios.</t>
  </si>
  <si>
    <t>4.1.4.1</t>
  </si>
  <si>
    <t>Parcelas mensais de repasse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</si>
</sst>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F2C30"/>
      <name val="Calibri"/>
      <family val="2"/>
      <scheme val="minor"/>
    </font>
    <font>
      <b/>
      <sz val="24"/>
      <color theme="0"/>
      <name val="Arial"/>
      <family val="2"/>
    </font>
    <font>
      <b/>
      <sz val="11"/>
      <color rgb="FF2F2C30"/>
      <name val="Arial"/>
      <family val="2"/>
    </font>
    <font>
      <sz val="12"/>
      <color rgb="FF2F2C30"/>
      <name val="Arial"/>
      <family val="2"/>
    </font>
    <font>
      <sz val="12"/>
      <color theme="1"/>
      <name val="Arial"/>
      <family val="2"/>
    </font>
    <font>
      <b/>
      <sz val="48"/>
      <color theme="0"/>
      <name val="Arial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2C3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6262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2F2C3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2"/>
    </xf>
    <xf numFmtId="0" fontId="8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ETA 1.1.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99390</xdr:colOff>
      <xdr:row>220</xdr:row>
      <xdr:rowOff>0</xdr:rowOff>
    </xdr:from>
    <xdr:to>
      <xdr:col>0</xdr:col>
      <xdr:colOff>1954694</xdr:colOff>
      <xdr:row>221</xdr:row>
      <xdr:rowOff>0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47F85C-5190-4A01-88CE-E221ACE8EE6E}"/>
            </a:ext>
          </a:extLst>
        </xdr:cNvPr>
        <xdr:cNvSpPr/>
      </xdr:nvSpPr>
      <xdr:spPr>
        <a:xfrm flipH="1">
          <a:off x="99390" y="62988825"/>
          <a:ext cx="1950554" cy="504825"/>
        </a:xfrm>
        <a:prstGeom prst="homePlate">
          <a:avLst/>
        </a:prstGeom>
        <a:solidFill>
          <a:srgbClr val="F0F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2F2C30"/>
              </a:solidFill>
              <a:latin typeface="Arial" panose="020B0604020202020204" pitchFamily="34" charset="0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151-8EBD-415A-A33E-21FC441DBA3E}">
  <dimension ref="A1:B5"/>
  <sheetViews>
    <sheetView workbookViewId="0">
      <selection activeCell="A2" sqref="A2:A5"/>
    </sheetView>
  </sheetViews>
  <sheetFormatPr defaultRowHeight="15"/>
  <cols>
    <col min="1" max="1" width="18.140625" bestFit="1" customWidth="1"/>
    <col min="2" max="2" width="255.7109375" bestFit="1" customWidth="1"/>
    <col min="3" max="15" width="2" bestFit="1" customWidth="1"/>
  </cols>
  <sheetData>
    <row r="1" spans="1:2">
      <c r="A1" s="1" t="s">
        <v>33</v>
      </c>
      <c r="B1" s="1" t="s">
        <v>0</v>
      </c>
    </row>
    <row r="2" spans="1:2">
      <c r="A2" s="20">
        <v>1</v>
      </c>
      <c r="B2" t="s">
        <v>339</v>
      </c>
    </row>
    <row r="3" spans="1:2">
      <c r="A3" s="20">
        <v>2</v>
      </c>
      <c r="B3" t="s">
        <v>340</v>
      </c>
    </row>
    <row r="4" spans="1:2">
      <c r="A4" s="20">
        <v>3</v>
      </c>
      <c r="B4" t="s">
        <v>341</v>
      </c>
    </row>
    <row r="5" spans="1:2">
      <c r="A5" s="20">
        <v>4</v>
      </c>
      <c r="B5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775B-9C85-4FA0-B8F7-F9D3A7F34F82}">
  <dimension ref="A1:D13"/>
  <sheetViews>
    <sheetView topLeftCell="C1" workbookViewId="0">
      <selection activeCell="C2" sqref="C2:C13"/>
    </sheetView>
  </sheetViews>
  <sheetFormatPr defaultRowHeight="15"/>
  <cols>
    <col min="1" max="1" width="18.140625" bestFit="1" customWidth="1"/>
    <col min="2" max="2" width="255.7109375" bestFit="1" customWidth="1"/>
    <col min="3" max="3" width="17.85546875" bestFit="1" customWidth="1"/>
    <col min="4" max="4" width="207.85546875" bestFit="1" customWidth="1"/>
  </cols>
  <sheetData>
    <row r="1" spans="1:4">
      <c r="A1" s="1" t="s">
        <v>33</v>
      </c>
      <c r="B1" s="1" t="s">
        <v>0</v>
      </c>
      <c r="C1" s="1" t="s">
        <v>34</v>
      </c>
      <c r="D1" s="1" t="s">
        <v>1</v>
      </c>
    </row>
    <row r="2" spans="1:4">
      <c r="A2">
        <v>1</v>
      </c>
      <c r="B2" t="str">
        <f>_xlfn.XLOOKUP(A2,Diretriz!A:A,Diretriz!B:B)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" s="20" t="s">
        <v>4</v>
      </c>
      <c r="D2" t="s">
        <v>343</v>
      </c>
    </row>
    <row r="3" spans="1:4">
      <c r="A3">
        <v>1</v>
      </c>
      <c r="B3" t="str">
        <f>_xlfn.XLOOKUP(A3,Diretriz!A:A,Diretriz!B:B)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" s="20" t="s">
        <v>5</v>
      </c>
      <c r="D3" t="s">
        <v>344</v>
      </c>
    </row>
    <row r="4" spans="1:4">
      <c r="A4">
        <v>1</v>
      </c>
      <c r="B4" t="str">
        <f>_xlfn.XLOOKUP(A4,Diretriz!A:A,Diretriz!B:B)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" s="20" t="s">
        <v>6</v>
      </c>
      <c r="D4" t="s">
        <v>345</v>
      </c>
    </row>
    <row r="5" spans="1:4">
      <c r="A5">
        <v>2</v>
      </c>
      <c r="B5" t="str">
        <f>_xlfn.XLOOKUP(A5,Diretriz!A:A,Diretriz!B:B)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5" s="20" t="s">
        <v>7</v>
      </c>
      <c r="D5" t="s">
        <v>346</v>
      </c>
    </row>
    <row r="6" spans="1:4">
      <c r="A6">
        <v>2</v>
      </c>
      <c r="B6" t="str">
        <f>_xlfn.XLOOKUP(A6,Diretriz!A:A,Diretriz!B:B)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6" s="20" t="s">
        <v>8</v>
      </c>
      <c r="D6" t="s">
        <v>347</v>
      </c>
    </row>
    <row r="7" spans="1:4">
      <c r="A7">
        <v>2</v>
      </c>
      <c r="B7" t="str">
        <f>_xlfn.XLOOKUP(A7,Diretriz!A:A,Diretriz!B:B)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7" s="20" t="s">
        <v>9</v>
      </c>
      <c r="D7" t="s">
        <v>348</v>
      </c>
    </row>
    <row r="8" spans="1:4">
      <c r="A8">
        <v>2</v>
      </c>
      <c r="B8" t="str">
        <f>_xlfn.XLOOKUP(A8,Diretriz!A:A,Diretriz!B:B)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8" s="20" t="s">
        <v>10</v>
      </c>
      <c r="D8" t="s">
        <v>349</v>
      </c>
    </row>
    <row r="9" spans="1:4">
      <c r="A9">
        <v>2</v>
      </c>
      <c r="B9" t="str">
        <f>_xlfn.XLOOKUP(A9,Diretriz!A:A,Diretriz!B:B)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9" s="20" t="s">
        <v>11</v>
      </c>
      <c r="D9" t="s">
        <v>350</v>
      </c>
    </row>
    <row r="10" spans="1:4">
      <c r="A10">
        <v>3</v>
      </c>
      <c r="B10" t="str">
        <f>_xlfn.XLOOKUP(A10,Diretriz!A:A,Diretriz!B:B)</f>
        <v>Fortalecer a Gestão Pública, por meio da gestão compartilhada nas regiões de saúde, com aprimoramento do planejamento estratégico e dos instrumentos de gestão, garantindo e fortalecendo as instâncias de controle social.</v>
      </c>
      <c r="C10" s="20" t="s">
        <v>13</v>
      </c>
      <c r="D10" t="s">
        <v>351</v>
      </c>
    </row>
    <row r="11" spans="1:4">
      <c r="A11">
        <v>3</v>
      </c>
      <c r="B11" t="str">
        <f>_xlfn.XLOOKUP(A11,Diretriz!A:A,Diretriz!B:B)</f>
        <v>Fortalecer a Gestão Pública, por meio da gestão compartilhada nas regiões de saúde, com aprimoramento do planejamento estratégico e dos instrumentos de gestão, garantindo e fortalecendo as instâncias de controle social.</v>
      </c>
      <c r="C11" s="20" t="s">
        <v>15</v>
      </c>
      <c r="D11" t="s">
        <v>352</v>
      </c>
    </row>
    <row r="12" spans="1:4">
      <c r="A12">
        <v>3</v>
      </c>
      <c r="B12" t="str">
        <f>_xlfn.XLOOKUP(A12,Diretriz!A:A,Diretriz!B:B)</f>
        <v>Fortalecer a Gestão Pública, por meio da gestão compartilhada nas regiões de saúde, com aprimoramento do planejamento estratégico e dos instrumentos de gestão, garantindo e fortalecendo as instâncias de controle social.</v>
      </c>
      <c r="C12" s="20" t="s">
        <v>18</v>
      </c>
      <c r="D12" t="s">
        <v>353</v>
      </c>
    </row>
    <row r="13" spans="1:4">
      <c r="A13">
        <v>4</v>
      </c>
      <c r="B13" t="str">
        <f>_xlfn.XLOOKUP(A13,Diretriz!A:A,Diretriz!B:B)</f>
        <v>Garantir o financiamento público e sustentável ao Sistema Único de Saúde, melhorando o padrão de gastos e qualificando o financiamento tripartite em saúde.</v>
      </c>
      <c r="C13" s="20" t="s">
        <v>28</v>
      </c>
      <c r="D13" t="s">
        <v>354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8864-E724-43AB-9D5B-208B2987AADC}">
  <dimension ref="A1:I123"/>
  <sheetViews>
    <sheetView tabSelected="1" topLeftCell="A7" workbookViewId="0">
      <pane xSplit="3" topLeftCell="E1" activePane="topRight" state="frozen"/>
      <selection pane="topRight" activeCell="H1" sqref="H1"/>
    </sheetView>
  </sheetViews>
  <sheetFormatPr defaultRowHeight="15"/>
  <cols>
    <col min="1" max="1" width="18.140625" style="2" bestFit="1" customWidth="1"/>
    <col min="2" max="2" width="17.85546875" style="2" bestFit="1" customWidth="1"/>
    <col min="3" max="3" width="16" style="2" bestFit="1" customWidth="1"/>
    <col min="4" max="4" width="188.140625" bestFit="1" customWidth="1"/>
    <col min="5" max="5" width="47.42578125" style="2" customWidth="1"/>
    <col min="6" max="6" width="38" style="2" customWidth="1"/>
    <col min="7" max="7" width="29.28515625" style="2" customWidth="1"/>
    <col min="8" max="8" width="30" style="2" bestFit="1" customWidth="1"/>
  </cols>
  <sheetData>
    <row r="1" spans="1:9">
      <c r="A1" s="1" t="s">
        <v>33</v>
      </c>
      <c r="B1" s="1" t="s">
        <v>355</v>
      </c>
      <c r="C1" s="1" t="s">
        <v>3</v>
      </c>
      <c r="D1" s="1" t="s">
        <v>80</v>
      </c>
      <c r="E1" s="1" t="s">
        <v>2</v>
      </c>
      <c r="F1" s="1" t="s">
        <v>12</v>
      </c>
      <c r="G1" s="1" t="s">
        <v>82</v>
      </c>
      <c r="H1" s="1" t="s">
        <v>81</v>
      </c>
    </row>
    <row r="2" spans="1:9">
      <c r="A2" s="21">
        <v>1</v>
      </c>
      <c r="B2" s="21" t="s">
        <v>4</v>
      </c>
      <c r="C2" s="21" t="s">
        <v>35</v>
      </c>
      <c r="D2" t="s">
        <v>356</v>
      </c>
      <c r="E2" s="2" t="s">
        <v>357</v>
      </c>
      <c r="F2" s="2" t="s">
        <v>310</v>
      </c>
      <c r="G2" s="2">
        <v>217</v>
      </c>
      <c r="H2" s="3">
        <v>49</v>
      </c>
      <c r="I2" s="19"/>
    </row>
    <row r="3" spans="1:9">
      <c r="A3" s="21">
        <v>1</v>
      </c>
      <c r="B3" s="21" t="s">
        <v>4</v>
      </c>
      <c r="C3" s="21" t="s">
        <v>36</v>
      </c>
      <c r="D3" t="s">
        <v>358</v>
      </c>
      <c r="E3" s="2" t="s">
        <v>357</v>
      </c>
      <c r="F3" s="2" t="s">
        <v>310</v>
      </c>
      <c r="G3" s="2">
        <v>217</v>
      </c>
      <c r="H3" s="3">
        <v>54</v>
      </c>
      <c r="I3" s="19"/>
    </row>
    <row r="4" spans="1:9">
      <c r="A4" s="21">
        <v>1</v>
      </c>
      <c r="B4" s="21" t="s">
        <v>4</v>
      </c>
      <c r="C4" s="21" t="s">
        <v>37</v>
      </c>
      <c r="D4" t="s">
        <v>359</v>
      </c>
      <c r="E4" s="2" t="s">
        <v>357</v>
      </c>
      <c r="F4" s="2" t="s">
        <v>310</v>
      </c>
      <c r="G4" s="2">
        <v>217</v>
      </c>
      <c r="H4" s="3">
        <v>52</v>
      </c>
      <c r="I4" s="19"/>
    </row>
    <row r="5" spans="1:9">
      <c r="A5" s="21">
        <v>1</v>
      </c>
      <c r="B5" s="21" t="s">
        <v>4</v>
      </c>
      <c r="C5" s="21" t="s">
        <v>38</v>
      </c>
      <c r="D5" t="s">
        <v>360</v>
      </c>
      <c r="E5" s="2" t="s">
        <v>361</v>
      </c>
      <c r="F5" s="2" t="s">
        <v>310</v>
      </c>
      <c r="G5" s="2">
        <v>47</v>
      </c>
      <c r="H5" s="3">
        <v>47</v>
      </c>
      <c r="I5" s="19"/>
    </row>
    <row r="6" spans="1:9">
      <c r="A6" s="21">
        <v>1</v>
      </c>
      <c r="B6" s="21" t="s">
        <v>4</v>
      </c>
      <c r="C6" s="21" t="s">
        <v>39</v>
      </c>
      <c r="D6" t="s">
        <v>362</v>
      </c>
      <c r="E6" s="2" t="s">
        <v>357</v>
      </c>
      <c r="F6" s="2" t="s">
        <v>310</v>
      </c>
      <c r="G6" s="2">
        <v>217</v>
      </c>
      <c r="H6" s="3">
        <v>56</v>
      </c>
      <c r="I6" s="19"/>
    </row>
    <row r="7" spans="1:9">
      <c r="A7" s="21">
        <v>1</v>
      </c>
      <c r="B7" s="21" t="s">
        <v>4</v>
      </c>
      <c r="C7" s="21" t="s">
        <v>40</v>
      </c>
      <c r="D7" t="s">
        <v>363</v>
      </c>
      <c r="E7" s="2" t="s">
        <v>357</v>
      </c>
      <c r="F7" s="2" t="s">
        <v>310</v>
      </c>
      <c r="G7" s="2">
        <v>217</v>
      </c>
      <c r="H7" s="3">
        <v>43</v>
      </c>
      <c r="I7" s="19"/>
    </row>
    <row r="8" spans="1:9">
      <c r="A8" s="21">
        <v>1</v>
      </c>
      <c r="B8" s="21" t="s">
        <v>4</v>
      </c>
      <c r="C8" s="21" t="s">
        <v>41</v>
      </c>
      <c r="D8" t="s">
        <v>364</v>
      </c>
      <c r="E8" s="2" t="s">
        <v>357</v>
      </c>
      <c r="F8" s="2" t="s">
        <v>310</v>
      </c>
      <c r="G8" s="2">
        <v>217</v>
      </c>
      <c r="H8" s="3">
        <v>45</v>
      </c>
      <c r="I8" s="19"/>
    </row>
    <row r="9" spans="1:9">
      <c r="A9" s="21">
        <v>1</v>
      </c>
      <c r="B9" s="21" t="s">
        <v>4</v>
      </c>
      <c r="C9" s="21" t="s">
        <v>42</v>
      </c>
      <c r="D9" t="s">
        <v>365</v>
      </c>
      <c r="E9" s="2" t="s">
        <v>357</v>
      </c>
      <c r="F9" s="2" t="s">
        <v>310</v>
      </c>
      <c r="G9" s="2">
        <v>217</v>
      </c>
      <c r="H9" s="3">
        <v>58</v>
      </c>
      <c r="I9" s="19"/>
    </row>
    <row r="10" spans="1:9">
      <c r="A10" s="21">
        <v>1</v>
      </c>
      <c r="B10" s="21" t="s">
        <v>4</v>
      </c>
      <c r="C10" s="21" t="s">
        <v>43</v>
      </c>
      <c r="D10" t="s">
        <v>366</v>
      </c>
      <c r="E10" s="2" t="s">
        <v>357</v>
      </c>
      <c r="F10" s="2" t="s">
        <v>310</v>
      </c>
      <c r="G10" s="2">
        <v>217</v>
      </c>
      <c r="H10" s="3">
        <v>60</v>
      </c>
      <c r="I10" s="19"/>
    </row>
    <row r="11" spans="1:9">
      <c r="A11" s="21">
        <v>1</v>
      </c>
      <c r="B11" s="21" t="s">
        <v>4</v>
      </c>
      <c r="C11" s="21" t="s">
        <v>44</v>
      </c>
      <c r="D11" t="s">
        <v>367</v>
      </c>
      <c r="E11" s="2" t="s">
        <v>357</v>
      </c>
      <c r="F11" s="2" t="s">
        <v>310</v>
      </c>
      <c r="G11" s="2">
        <v>217</v>
      </c>
      <c r="H11" s="3">
        <v>46</v>
      </c>
      <c r="I11" s="19"/>
    </row>
    <row r="12" spans="1:9">
      <c r="A12" s="21">
        <v>1</v>
      </c>
      <c r="B12" s="21" t="s">
        <v>4</v>
      </c>
      <c r="C12" s="21" t="s">
        <v>45</v>
      </c>
      <c r="D12" t="s">
        <v>368</v>
      </c>
      <c r="E12" s="2" t="s">
        <v>369</v>
      </c>
      <c r="F12" s="2" t="s">
        <v>310</v>
      </c>
      <c r="G12" s="2">
        <v>402</v>
      </c>
      <c r="H12" s="3">
        <v>447</v>
      </c>
      <c r="I12" s="19"/>
    </row>
    <row r="13" spans="1:9">
      <c r="A13" s="21">
        <v>1</v>
      </c>
      <c r="B13" s="21" t="s">
        <v>4</v>
      </c>
      <c r="C13" s="21" t="s">
        <v>46</v>
      </c>
      <c r="D13" t="s">
        <v>370</v>
      </c>
      <c r="E13" s="2" t="s">
        <v>357</v>
      </c>
      <c r="F13" s="2" t="s">
        <v>310</v>
      </c>
      <c r="G13" s="2">
        <v>217</v>
      </c>
      <c r="H13" s="3">
        <v>55</v>
      </c>
      <c r="I13" s="19"/>
    </row>
    <row r="14" spans="1:9">
      <c r="A14" s="21">
        <v>1</v>
      </c>
      <c r="B14" s="21" t="s">
        <v>4</v>
      </c>
      <c r="C14" s="21" t="s">
        <v>47</v>
      </c>
      <c r="D14" t="s">
        <v>371</v>
      </c>
      <c r="E14" s="2" t="s">
        <v>357</v>
      </c>
      <c r="F14" s="2" t="s">
        <v>310</v>
      </c>
      <c r="G14" s="2">
        <v>217</v>
      </c>
      <c r="H14" s="3">
        <v>217</v>
      </c>
      <c r="I14" s="19"/>
    </row>
    <row r="15" spans="1:9">
      <c r="A15" s="21">
        <v>1</v>
      </c>
      <c r="B15" s="21" t="s">
        <v>5</v>
      </c>
      <c r="C15" s="21" t="s">
        <v>48</v>
      </c>
      <c r="D15" t="s">
        <v>372</v>
      </c>
      <c r="E15" s="2" t="s">
        <v>373</v>
      </c>
      <c r="F15" s="2" t="s">
        <v>374</v>
      </c>
      <c r="G15" s="3">
        <v>2889</v>
      </c>
      <c r="H15" s="4">
        <v>753</v>
      </c>
      <c r="I15" s="19"/>
    </row>
    <row r="16" spans="1:9">
      <c r="A16" s="21">
        <v>1</v>
      </c>
      <c r="B16" s="21" t="s">
        <v>5</v>
      </c>
      <c r="C16" s="21" t="s">
        <v>79</v>
      </c>
      <c r="D16" t="s">
        <v>375</v>
      </c>
      <c r="E16" s="2" t="s">
        <v>373</v>
      </c>
      <c r="F16" s="2" t="s">
        <v>374</v>
      </c>
      <c r="G16" s="3">
        <v>1350</v>
      </c>
      <c r="H16" s="4">
        <v>350</v>
      </c>
      <c r="I16" s="19"/>
    </row>
    <row r="17" spans="1:9">
      <c r="A17" s="21">
        <v>1</v>
      </c>
      <c r="B17" s="21" t="s">
        <v>5</v>
      </c>
      <c r="C17" s="21" t="s">
        <v>49</v>
      </c>
      <c r="D17" t="s">
        <v>376</v>
      </c>
      <c r="E17" s="2" t="s">
        <v>373</v>
      </c>
      <c r="F17" s="2" t="s">
        <v>374</v>
      </c>
      <c r="G17" s="3">
        <v>100000</v>
      </c>
      <c r="H17" s="4">
        <v>26000</v>
      </c>
      <c r="I17" s="19"/>
    </row>
    <row r="18" spans="1:9">
      <c r="A18" s="21">
        <v>1</v>
      </c>
      <c r="B18" s="21" t="s">
        <v>5</v>
      </c>
      <c r="C18" s="21" t="s">
        <v>50</v>
      </c>
      <c r="D18" t="s">
        <v>377</v>
      </c>
      <c r="E18" s="2" t="s">
        <v>373</v>
      </c>
      <c r="F18" s="2" t="s">
        <v>374</v>
      </c>
      <c r="G18" s="3">
        <v>262</v>
      </c>
      <c r="H18" s="4">
        <v>67</v>
      </c>
      <c r="I18" s="19"/>
    </row>
    <row r="19" spans="1:9">
      <c r="A19" s="21">
        <v>1</v>
      </c>
      <c r="B19" s="21" t="s">
        <v>5</v>
      </c>
      <c r="C19" s="21" t="s">
        <v>51</v>
      </c>
      <c r="D19" t="s">
        <v>378</v>
      </c>
      <c r="E19" s="2" t="s">
        <v>379</v>
      </c>
      <c r="F19" s="2" t="s">
        <v>374</v>
      </c>
      <c r="G19" s="3">
        <v>753600</v>
      </c>
      <c r="H19" s="4">
        <v>188400</v>
      </c>
      <c r="I19" s="19"/>
    </row>
    <row r="20" spans="1:9">
      <c r="A20" s="21">
        <v>1</v>
      </c>
      <c r="B20" s="21" t="s">
        <v>5</v>
      </c>
      <c r="C20" s="21" t="s">
        <v>52</v>
      </c>
      <c r="D20" t="s">
        <v>380</v>
      </c>
      <c r="E20" s="2" t="s">
        <v>373</v>
      </c>
      <c r="F20" s="2" t="s">
        <v>310</v>
      </c>
      <c r="G20" s="3">
        <v>60595</v>
      </c>
      <c r="H20" s="4">
        <v>16071</v>
      </c>
      <c r="I20" s="19"/>
    </row>
    <row r="21" spans="1:9">
      <c r="A21" s="21">
        <v>1</v>
      </c>
      <c r="B21" s="21" t="s">
        <v>5</v>
      </c>
      <c r="C21" s="21" t="s">
        <v>53</v>
      </c>
      <c r="D21" t="s">
        <v>381</v>
      </c>
      <c r="E21" s="2" t="s">
        <v>382</v>
      </c>
      <c r="F21" s="2" t="s">
        <v>310</v>
      </c>
      <c r="G21" s="3">
        <v>217</v>
      </c>
      <c r="H21" s="4">
        <v>55</v>
      </c>
      <c r="I21" s="19"/>
    </row>
    <row r="22" spans="1:9">
      <c r="A22" s="21">
        <v>1</v>
      </c>
      <c r="B22" s="21" t="s">
        <v>6</v>
      </c>
      <c r="C22" s="21" t="s">
        <v>54</v>
      </c>
      <c r="D22" t="s">
        <v>383</v>
      </c>
      <c r="E22" s="2" t="s">
        <v>384</v>
      </c>
      <c r="F22" s="2" t="s">
        <v>374</v>
      </c>
      <c r="G22" s="3">
        <v>1370721</v>
      </c>
      <c r="H22" s="3">
        <v>350000</v>
      </c>
      <c r="I22" s="19"/>
    </row>
    <row r="23" spans="1:9">
      <c r="A23" s="21">
        <v>1</v>
      </c>
      <c r="B23" s="21" t="s">
        <v>6</v>
      </c>
      <c r="C23" s="21" t="s">
        <v>55</v>
      </c>
      <c r="D23" t="s">
        <v>385</v>
      </c>
      <c r="E23" s="2" t="s">
        <v>384</v>
      </c>
      <c r="F23" s="2" t="s">
        <v>374</v>
      </c>
      <c r="G23" s="3">
        <v>45568</v>
      </c>
      <c r="H23" s="3">
        <v>11529</v>
      </c>
      <c r="I23" s="19"/>
    </row>
    <row r="24" spans="1:9">
      <c r="A24" s="21">
        <v>1</v>
      </c>
      <c r="B24" s="21" t="s">
        <v>6</v>
      </c>
      <c r="C24" s="21" t="s">
        <v>56</v>
      </c>
      <c r="D24" t="s">
        <v>386</v>
      </c>
      <c r="E24" s="2" t="s">
        <v>387</v>
      </c>
      <c r="F24" s="2" t="s">
        <v>374</v>
      </c>
      <c r="G24" s="3">
        <v>7</v>
      </c>
      <c r="H24" s="3">
        <v>7</v>
      </c>
      <c r="I24" s="19"/>
    </row>
    <row r="25" spans="1:9">
      <c r="A25" s="21">
        <v>1</v>
      </c>
      <c r="B25" s="21" t="s">
        <v>6</v>
      </c>
      <c r="C25" s="21" t="s">
        <v>57</v>
      </c>
      <c r="D25" t="s">
        <v>388</v>
      </c>
      <c r="E25" s="2" t="s">
        <v>384</v>
      </c>
      <c r="F25" s="2" t="s">
        <v>374</v>
      </c>
      <c r="G25" s="3">
        <v>439120</v>
      </c>
      <c r="H25" s="3">
        <v>114487</v>
      </c>
      <c r="I25" s="19"/>
    </row>
    <row r="26" spans="1:9">
      <c r="A26" s="21">
        <v>2</v>
      </c>
      <c r="B26" s="21" t="s">
        <v>7</v>
      </c>
      <c r="C26" s="21" t="s">
        <v>58</v>
      </c>
      <c r="D26" t="s">
        <v>389</v>
      </c>
      <c r="E26" s="2" t="s">
        <v>390</v>
      </c>
      <c r="F26" s="2" t="s">
        <v>374</v>
      </c>
      <c r="G26" s="3">
        <v>109996043</v>
      </c>
      <c r="H26" s="3">
        <v>27634453</v>
      </c>
      <c r="I26" s="19"/>
    </row>
    <row r="27" spans="1:9">
      <c r="A27" s="21">
        <v>2</v>
      </c>
      <c r="B27" s="21" t="s">
        <v>7</v>
      </c>
      <c r="C27" s="21" t="s">
        <v>59</v>
      </c>
      <c r="D27" t="s">
        <v>391</v>
      </c>
      <c r="E27" s="2" t="s">
        <v>390</v>
      </c>
      <c r="F27" s="2" t="s">
        <v>374</v>
      </c>
      <c r="G27" s="3">
        <v>2244817</v>
      </c>
      <c r="H27" s="3">
        <v>563968</v>
      </c>
      <c r="I27" s="19"/>
    </row>
    <row r="28" spans="1:9">
      <c r="A28" s="21">
        <v>2</v>
      </c>
      <c r="B28" s="21" t="s">
        <v>7</v>
      </c>
      <c r="C28" s="21" t="s">
        <v>60</v>
      </c>
      <c r="D28" t="s">
        <v>392</v>
      </c>
      <c r="E28" s="2" t="s">
        <v>390</v>
      </c>
      <c r="F28" s="2" t="s">
        <v>374</v>
      </c>
      <c r="G28" s="3">
        <v>1437206</v>
      </c>
      <c r="H28" s="3">
        <v>361071</v>
      </c>
      <c r="I28" s="19"/>
    </row>
    <row r="29" spans="1:9">
      <c r="A29" s="21">
        <v>2</v>
      </c>
      <c r="B29" s="21" t="s">
        <v>7</v>
      </c>
      <c r="C29" s="21" t="s">
        <v>61</v>
      </c>
      <c r="D29" t="s">
        <v>393</v>
      </c>
      <c r="E29" s="2" t="s">
        <v>394</v>
      </c>
      <c r="F29" s="2" t="s">
        <v>395</v>
      </c>
      <c r="G29" s="2" t="s">
        <v>448</v>
      </c>
      <c r="H29" s="38">
        <v>0.75</v>
      </c>
      <c r="I29" s="19"/>
    </row>
    <row r="30" spans="1:9">
      <c r="A30" s="21">
        <v>2</v>
      </c>
      <c r="B30" s="21" t="s">
        <v>7</v>
      </c>
      <c r="C30" s="21" t="s">
        <v>62</v>
      </c>
      <c r="D30" t="s">
        <v>396</v>
      </c>
      <c r="E30" s="2" t="s">
        <v>397</v>
      </c>
      <c r="F30" s="2" t="s">
        <v>395</v>
      </c>
      <c r="G30" s="2">
        <v>1</v>
      </c>
      <c r="H30" s="38">
        <v>0.9</v>
      </c>
      <c r="I30" s="19"/>
    </row>
    <row r="31" spans="1:9">
      <c r="A31" s="21">
        <v>2</v>
      </c>
      <c r="B31" s="21" t="s">
        <v>7</v>
      </c>
      <c r="C31" s="21" t="s">
        <v>63</v>
      </c>
      <c r="D31" t="s">
        <v>398</v>
      </c>
      <c r="E31" s="2" t="s">
        <v>399</v>
      </c>
      <c r="F31" s="2" t="s">
        <v>395</v>
      </c>
      <c r="G31" s="2">
        <v>1</v>
      </c>
      <c r="H31" s="38">
        <v>0.99</v>
      </c>
      <c r="I31" s="19"/>
    </row>
    <row r="32" spans="1:9">
      <c r="A32" s="21">
        <v>2</v>
      </c>
      <c r="B32" s="21" t="s">
        <v>7</v>
      </c>
      <c r="C32" s="21" t="s">
        <v>64</v>
      </c>
      <c r="D32" t="s">
        <v>400</v>
      </c>
      <c r="E32" s="2" t="s">
        <v>397</v>
      </c>
      <c r="F32" s="2" t="s">
        <v>395</v>
      </c>
      <c r="G32" s="2">
        <v>1</v>
      </c>
      <c r="H32" s="38">
        <v>0.96</v>
      </c>
      <c r="I32" s="19"/>
    </row>
    <row r="33" spans="1:9">
      <c r="A33" s="21">
        <v>2</v>
      </c>
      <c r="B33" s="21" t="s">
        <v>7</v>
      </c>
      <c r="C33" s="21" t="s">
        <v>65</v>
      </c>
      <c r="D33" t="s">
        <v>401</v>
      </c>
      <c r="E33" s="2" t="s">
        <v>390</v>
      </c>
      <c r="F33" s="2" t="s">
        <v>374</v>
      </c>
      <c r="G33" s="3">
        <v>386800</v>
      </c>
      <c r="H33" s="3">
        <v>96700</v>
      </c>
      <c r="I33" s="19"/>
    </row>
    <row r="34" spans="1:9">
      <c r="A34" s="21">
        <v>2</v>
      </c>
      <c r="B34" s="21" t="s">
        <v>7</v>
      </c>
      <c r="C34" s="21" t="s">
        <v>66</v>
      </c>
      <c r="D34" t="s">
        <v>402</v>
      </c>
      <c r="E34" s="2" t="s">
        <v>390</v>
      </c>
      <c r="F34" s="2" t="s">
        <v>374</v>
      </c>
      <c r="G34" s="3">
        <v>5491073</v>
      </c>
      <c r="H34" s="3">
        <v>1404578</v>
      </c>
      <c r="I34" s="19"/>
    </row>
    <row r="35" spans="1:9">
      <c r="A35" s="21">
        <v>2</v>
      </c>
      <c r="B35" s="21" t="s">
        <v>7</v>
      </c>
      <c r="C35" s="21" t="s">
        <v>67</v>
      </c>
      <c r="D35" t="s">
        <v>403</v>
      </c>
      <c r="E35" s="2" t="s">
        <v>357</v>
      </c>
      <c r="F35" s="2" t="s">
        <v>374</v>
      </c>
      <c r="G35" s="3">
        <v>64</v>
      </c>
      <c r="H35" s="3">
        <v>60</v>
      </c>
      <c r="I35" s="19"/>
    </row>
    <row r="36" spans="1:9">
      <c r="A36" s="21">
        <v>2</v>
      </c>
      <c r="B36" s="21" t="s">
        <v>8</v>
      </c>
      <c r="C36" s="21" t="s">
        <v>68</v>
      </c>
      <c r="D36" t="s">
        <v>404</v>
      </c>
      <c r="E36" s="2" t="s">
        <v>405</v>
      </c>
      <c r="F36" s="2" t="s">
        <v>374</v>
      </c>
      <c r="G36" s="3">
        <v>858</v>
      </c>
      <c r="H36" s="3">
        <v>223</v>
      </c>
      <c r="I36" s="19"/>
    </row>
    <row r="37" spans="1:9">
      <c r="A37" s="21">
        <v>2</v>
      </c>
      <c r="B37" s="21" t="s">
        <v>8</v>
      </c>
      <c r="C37" s="21" t="s">
        <v>69</v>
      </c>
      <c r="D37" t="s">
        <v>406</v>
      </c>
      <c r="E37" s="2" t="s">
        <v>407</v>
      </c>
      <c r="F37" s="2" t="s">
        <v>374</v>
      </c>
      <c r="G37" s="3">
        <v>60</v>
      </c>
      <c r="H37" s="3">
        <v>16</v>
      </c>
      <c r="I37" s="19"/>
    </row>
    <row r="38" spans="1:9">
      <c r="A38" s="21">
        <v>2</v>
      </c>
      <c r="B38" s="21" t="s">
        <v>8</v>
      </c>
      <c r="C38" s="21" t="s">
        <v>70</v>
      </c>
      <c r="D38" t="s">
        <v>408</v>
      </c>
      <c r="E38" s="2" t="s">
        <v>409</v>
      </c>
      <c r="F38" s="2" t="s">
        <v>374</v>
      </c>
      <c r="G38" s="3">
        <v>133</v>
      </c>
      <c r="H38" s="3">
        <v>35</v>
      </c>
      <c r="I38" s="19"/>
    </row>
    <row r="39" spans="1:9">
      <c r="A39" s="21">
        <v>2</v>
      </c>
      <c r="B39" s="21" t="s">
        <v>9</v>
      </c>
      <c r="C39" s="21" t="s">
        <v>71</v>
      </c>
      <c r="D39" t="s">
        <v>410</v>
      </c>
      <c r="E39" s="2" t="s">
        <v>411</v>
      </c>
      <c r="F39" s="2" t="s">
        <v>374</v>
      </c>
      <c r="G39" s="3">
        <v>1905845</v>
      </c>
      <c r="H39" s="3">
        <v>492500</v>
      </c>
      <c r="I39" s="19"/>
    </row>
    <row r="40" spans="1:9">
      <c r="A40" s="21">
        <v>2</v>
      </c>
      <c r="B40" s="21" t="s">
        <v>9</v>
      </c>
      <c r="C40" s="21" t="s">
        <v>72</v>
      </c>
      <c r="D40" t="s">
        <v>412</v>
      </c>
      <c r="E40" s="2" t="s">
        <v>413</v>
      </c>
      <c r="F40" s="2" t="s">
        <v>374</v>
      </c>
      <c r="G40" s="3">
        <v>117600</v>
      </c>
      <c r="H40" s="3">
        <v>29200</v>
      </c>
      <c r="I40" s="19"/>
    </row>
    <row r="41" spans="1:9">
      <c r="A41" s="21">
        <v>2</v>
      </c>
      <c r="B41" s="21" t="s">
        <v>9</v>
      </c>
      <c r="C41" s="21" t="s">
        <v>73</v>
      </c>
      <c r="D41" t="s">
        <v>414</v>
      </c>
      <c r="E41" s="2" t="s">
        <v>415</v>
      </c>
      <c r="F41" s="2" t="s">
        <v>374</v>
      </c>
      <c r="G41" s="3">
        <v>118104</v>
      </c>
      <c r="H41" s="3">
        <v>31200</v>
      </c>
      <c r="I41" s="19"/>
    </row>
    <row r="42" spans="1:9">
      <c r="A42" s="21">
        <v>2</v>
      </c>
      <c r="B42" s="21" t="s">
        <v>9</v>
      </c>
      <c r="C42" s="21" t="s">
        <v>74</v>
      </c>
      <c r="D42" t="s">
        <v>416</v>
      </c>
      <c r="E42" s="2" t="s">
        <v>417</v>
      </c>
      <c r="F42" s="2" t="s">
        <v>374</v>
      </c>
      <c r="G42" s="3">
        <v>6515325</v>
      </c>
      <c r="H42" s="3">
        <v>1650000</v>
      </c>
      <c r="I42" s="19"/>
    </row>
    <row r="43" spans="1:9">
      <c r="A43" s="21">
        <v>2</v>
      </c>
      <c r="B43" s="21" t="s">
        <v>10</v>
      </c>
      <c r="C43" s="21" t="s">
        <v>75</v>
      </c>
      <c r="D43" t="s">
        <v>418</v>
      </c>
      <c r="E43" s="2" t="s">
        <v>390</v>
      </c>
      <c r="F43" s="2" t="s">
        <v>374</v>
      </c>
      <c r="G43" s="3">
        <v>256151</v>
      </c>
      <c r="H43" s="3">
        <v>64352</v>
      </c>
      <c r="I43" s="19"/>
    </row>
    <row r="44" spans="1:9">
      <c r="A44" s="21">
        <v>2</v>
      </c>
      <c r="B44" s="21" t="s">
        <v>10</v>
      </c>
      <c r="C44" s="21" t="s">
        <v>76</v>
      </c>
      <c r="D44" t="s">
        <v>419</v>
      </c>
      <c r="E44" s="2" t="s">
        <v>390</v>
      </c>
      <c r="F44" s="2" t="s">
        <v>374</v>
      </c>
      <c r="G44" s="3">
        <v>265967</v>
      </c>
      <c r="H44" s="3">
        <v>66822</v>
      </c>
      <c r="I44" s="19"/>
    </row>
    <row r="45" spans="1:9">
      <c r="A45" s="21">
        <v>2</v>
      </c>
      <c r="B45" s="21" t="s">
        <v>11</v>
      </c>
      <c r="C45" s="21" t="s">
        <v>77</v>
      </c>
      <c r="D45" t="s">
        <v>420</v>
      </c>
      <c r="E45" s="2" t="s">
        <v>421</v>
      </c>
      <c r="F45" s="2" t="s">
        <v>374</v>
      </c>
      <c r="G45" s="3">
        <v>19</v>
      </c>
      <c r="H45" s="3">
        <v>4</v>
      </c>
      <c r="I45" s="19"/>
    </row>
    <row r="46" spans="1:9">
      <c r="A46" s="21">
        <v>2</v>
      </c>
      <c r="B46" s="21" t="s">
        <v>11</v>
      </c>
      <c r="C46" s="21" t="s">
        <v>78</v>
      </c>
      <c r="D46" t="s">
        <v>422</v>
      </c>
      <c r="E46" s="2" t="s">
        <v>421</v>
      </c>
      <c r="F46" s="2" t="s">
        <v>374</v>
      </c>
      <c r="G46" s="3">
        <v>19</v>
      </c>
      <c r="H46" s="3">
        <v>19</v>
      </c>
      <c r="I46" s="19"/>
    </row>
    <row r="47" spans="1:9">
      <c r="A47" s="21">
        <v>3</v>
      </c>
      <c r="B47" s="21" t="s">
        <v>13</v>
      </c>
      <c r="C47" s="21" t="s">
        <v>14</v>
      </c>
      <c r="D47" t="s">
        <v>423</v>
      </c>
      <c r="E47" s="2" t="s">
        <v>424</v>
      </c>
      <c r="F47" s="2" t="s">
        <v>374</v>
      </c>
      <c r="G47" s="3">
        <v>245</v>
      </c>
      <c r="H47" s="3">
        <v>36</v>
      </c>
      <c r="I47" s="19"/>
    </row>
    <row r="48" spans="1:9">
      <c r="A48" s="21">
        <v>3</v>
      </c>
      <c r="B48" s="21" t="s">
        <v>13</v>
      </c>
      <c r="C48" s="21" t="s">
        <v>19</v>
      </c>
      <c r="D48" t="s">
        <v>425</v>
      </c>
      <c r="E48" s="2" t="s">
        <v>426</v>
      </c>
      <c r="F48" s="2" t="s">
        <v>374</v>
      </c>
      <c r="G48" s="3">
        <v>35</v>
      </c>
      <c r="H48" s="3">
        <v>4</v>
      </c>
      <c r="I48" s="19"/>
    </row>
    <row r="49" spans="1:9">
      <c r="A49" s="21">
        <v>3</v>
      </c>
      <c r="B49" s="21" t="s">
        <v>13</v>
      </c>
      <c r="C49" s="21" t="s">
        <v>20</v>
      </c>
      <c r="D49" t="s">
        <v>427</v>
      </c>
      <c r="E49" s="2" t="s">
        <v>426</v>
      </c>
      <c r="F49" s="2" t="s">
        <v>374</v>
      </c>
      <c r="G49" s="3">
        <v>2720</v>
      </c>
      <c r="H49" s="3">
        <v>680</v>
      </c>
      <c r="I49" s="19"/>
    </row>
    <row r="50" spans="1:9">
      <c r="A50" s="21">
        <v>3</v>
      </c>
      <c r="B50" s="21" t="s">
        <v>13</v>
      </c>
      <c r="C50" s="21" t="s">
        <v>21</v>
      </c>
      <c r="D50" t="s">
        <v>428</v>
      </c>
      <c r="E50" s="2" t="s">
        <v>429</v>
      </c>
      <c r="F50" s="2" t="s">
        <v>374</v>
      </c>
      <c r="G50" s="3">
        <v>763</v>
      </c>
      <c r="H50" s="3">
        <v>195</v>
      </c>
      <c r="I50" s="19"/>
    </row>
    <row r="51" spans="1:9">
      <c r="A51" s="21">
        <v>3</v>
      </c>
      <c r="B51" s="21" t="s">
        <v>13</v>
      </c>
      <c r="C51" s="21" t="s">
        <v>22</v>
      </c>
      <c r="D51" t="s">
        <v>430</v>
      </c>
      <c r="E51" s="2" t="s">
        <v>426</v>
      </c>
      <c r="F51" s="2" t="s">
        <v>374</v>
      </c>
      <c r="G51" s="3">
        <v>65</v>
      </c>
      <c r="H51" s="3">
        <v>65</v>
      </c>
      <c r="I51" s="19"/>
    </row>
    <row r="52" spans="1:9">
      <c r="A52" s="21">
        <v>3</v>
      </c>
      <c r="B52" s="21" t="s">
        <v>13</v>
      </c>
      <c r="C52" s="21" t="s">
        <v>23</v>
      </c>
      <c r="D52" t="s">
        <v>431</v>
      </c>
      <c r="E52" s="2" t="s">
        <v>432</v>
      </c>
      <c r="F52" s="2" t="s">
        <v>374</v>
      </c>
      <c r="G52" s="3">
        <v>28</v>
      </c>
      <c r="H52" s="3">
        <v>7</v>
      </c>
      <c r="I52" s="19"/>
    </row>
    <row r="53" spans="1:9">
      <c r="A53" s="21">
        <v>3</v>
      </c>
      <c r="B53" s="21" t="s">
        <v>15</v>
      </c>
      <c r="C53" s="21" t="s">
        <v>16</v>
      </c>
      <c r="D53" t="s">
        <v>433</v>
      </c>
      <c r="E53" s="2" t="s">
        <v>434</v>
      </c>
      <c r="F53" s="2" t="s">
        <v>374</v>
      </c>
      <c r="G53" s="3">
        <v>23400</v>
      </c>
      <c r="H53" s="3">
        <v>6955</v>
      </c>
      <c r="I53" s="19"/>
    </row>
    <row r="54" spans="1:9">
      <c r="A54" s="21">
        <v>3</v>
      </c>
      <c r="B54" s="21" t="s">
        <v>15</v>
      </c>
      <c r="C54" s="21" t="s">
        <v>24</v>
      </c>
      <c r="D54" t="s">
        <v>435</v>
      </c>
      <c r="E54" s="2" t="s">
        <v>436</v>
      </c>
      <c r="F54" s="2" t="s">
        <v>374</v>
      </c>
      <c r="G54" s="3">
        <v>1600</v>
      </c>
      <c r="H54" s="3">
        <v>500</v>
      </c>
      <c r="I54" s="19"/>
    </row>
    <row r="55" spans="1:9">
      <c r="A55" s="21">
        <v>3</v>
      </c>
      <c r="B55" s="21" t="s">
        <v>15</v>
      </c>
      <c r="C55" s="21" t="s">
        <v>25</v>
      </c>
      <c r="D55" t="s">
        <v>437</v>
      </c>
      <c r="E55" s="2" t="s">
        <v>426</v>
      </c>
      <c r="F55" s="2" t="s">
        <v>374</v>
      </c>
      <c r="G55" s="3">
        <v>6</v>
      </c>
      <c r="H55" s="3">
        <v>3</v>
      </c>
      <c r="I55" s="19"/>
    </row>
    <row r="56" spans="1:9">
      <c r="A56" s="21">
        <v>3</v>
      </c>
      <c r="B56" s="21" t="s">
        <v>18</v>
      </c>
      <c r="C56" s="21" t="s">
        <v>17</v>
      </c>
      <c r="D56" t="s">
        <v>438</v>
      </c>
      <c r="E56" s="2" t="s">
        <v>426</v>
      </c>
      <c r="F56" s="2" t="s">
        <v>374</v>
      </c>
      <c r="G56" s="3">
        <v>1278</v>
      </c>
      <c r="H56" s="3">
        <v>327</v>
      </c>
      <c r="I56" s="19"/>
    </row>
    <row r="57" spans="1:9">
      <c r="A57" s="21">
        <v>3</v>
      </c>
      <c r="B57" s="21" t="s">
        <v>18</v>
      </c>
      <c r="C57" s="21" t="s">
        <v>26</v>
      </c>
      <c r="D57" t="s">
        <v>439</v>
      </c>
      <c r="E57" s="2" t="s">
        <v>426</v>
      </c>
      <c r="F57" s="2" t="s">
        <v>374</v>
      </c>
      <c r="G57" s="3">
        <v>65</v>
      </c>
      <c r="H57" s="3">
        <v>74</v>
      </c>
      <c r="I57" s="19"/>
    </row>
    <row r="58" spans="1:9">
      <c r="A58" s="21">
        <v>3</v>
      </c>
      <c r="B58" s="21" t="s">
        <v>18</v>
      </c>
      <c r="C58" s="21" t="s">
        <v>27</v>
      </c>
      <c r="D58" t="s">
        <v>440</v>
      </c>
      <c r="E58" s="2" t="s">
        <v>426</v>
      </c>
      <c r="F58" s="2" t="s">
        <v>374</v>
      </c>
      <c r="G58" s="3">
        <v>232</v>
      </c>
      <c r="H58" s="3">
        <v>70</v>
      </c>
      <c r="I58" s="19"/>
    </row>
    <row r="59" spans="1:9">
      <c r="A59" s="21">
        <v>4</v>
      </c>
      <c r="B59" s="21" t="s">
        <v>28</v>
      </c>
      <c r="C59" s="21" t="s">
        <v>29</v>
      </c>
      <c r="D59" t="s">
        <v>441</v>
      </c>
      <c r="E59" s="2" t="s">
        <v>442</v>
      </c>
      <c r="F59" s="2" t="s">
        <v>374</v>
      </c>
      <c r="G59" s="3">
        <v>164</v>
      </c>
      <c r="H59" s="3">
        <v>38</v>
      </c>
      <c r="I59" s="19"/>
    </row>
    <row r="60" spans="1:9">
      <c r="A60" s="21">
        <v>4</v>
      </c>
      <c r="B60" s="21" t="s">
        <v>28</v>
      </c>
      <c r="C60" s="21" t="s">
        <v>30</v>
      </c>
      <c r="D60" t="s">
        <v>443</v>
      </c>
      <c r="E60" s="2" t="s">
        <v>357</v>
      </c>
      <c r="F60" s="2" t="s">
        <v>374</v>
      </c>
      <c r="G60" s="3">
        <v>217</v>
      </c>
      <c r="H60" s="3">
        <v>217</v>
      </c>
      <c r="I60" s="19"/>
    </row>
    <row r="61" spans="1:9">
      <c r="A61" s="21">
        <v>4</v>
      </c>
      <c r="B61" s="21" t="s">
        <v>28</v>
      </c>
      <c r="C61" s="21" t="s">
        <v>31</v>
      </c>
      <c r="D61" t="s">
        <v>444</v>
      </c>
      <c r="E61" s="2" t="s">
        <v>445</v>
      </c>
      <c r="F61" s="2" t="s">
        <v>374</v>
      </c>
      <c r="G61" s="3">
        <v>8</v>
      </c>
      <c r="H61" s="3">
        <v>2</v>
      </c>
      <c r="I61" s="19"/>
    </row>
    <row r="62" spans="1:9">
      <c r="A62" s="21">
        <v>4</v>
      </c>
      <c r="B62" s="21" t="s">
        <v>28</v>
      </c>
      <c r="C62" s="21" t="s">
        <v>32</v>
      </c>
      <c r="D62" t="s">
        <v>446</v>
      </c>
      <c r="E62" s="2" t="s">
        <v>447</v>
      </c>
      <c r="F62" s="2" t="s">
        <v>374</v>
      </c>
      <c r="G62" s="3">
        <v>2784</v>
      </c>
      <c r="H62" s="3">
        <v>720</v>
      </c>
      <c r="I62" s="19"/>
    </row>
    <row r="63" spans="1:9">
      <c r="A63" s="21"/>
      <c r="B63" s="21"/>
      <c r="C63" s="21"/>
      <c r="H63" s="3"/>
      <c r="I63" s="19"/>
    </row>
    <row r="64" spans="1:9">
      <c r="A64" s="21"/>
      <c r="B64" s="21"/>
      <c r="C64" s="21"/>
      <c r="H64" s="3"/>
      <c r="I64" s="19"/>
    </row>
    <row r="65" spans="1:9">
      <c r="A65" s="21"/>
      <c r="B65" s="21"/>
      <c r="C65" s="21"/>
      <c r="H65" s="3"/>
      <c r="I65" s="19"/>
    </row>
    <row r="66" spans="1:9">
      <c r="A66" s="21"/>
      <c r="B66" s="21"/>
      <c r="C66" s="21"/>
      <c r="H66" s="3"/>
      <c r="I66" s="19"/>
    </row>
    <row r="67" spans="1:9">
      <c r="A67" s="21"/>
      <c r="B67" s="21"/>
      <c r="C67" s="21"/>
      <c r="H67" s="3"/>
      <c r="I67" s="19"/>
    </row>
    <row r="68" spans="1:9">
      <c r="A68" s="21"/>
      <c r="B68" s="21"/>
      <c r="C68" s="21"/>
      <c r="H68" s="3"/>
      <c r="I68" s="19"/>
    </row>
    <row r="69" spans="1:9">
      <c r="A69" s="21"/>
      <c r="B69" s="21"/>
      <c r="C69" s="21"/>
      <c r="H69" s="3"/>
      <c r="I69" s="19"/>
    </row>
    <row r="70" spans="1:9">
      <c r="A70" s="21"/>
      <c r="B70" s="21"/>
      <c r="C70" s="21"/>
      <c r="H70" s="3"/>
      <c r="I70" s="19"/>
    </row>
    <row r="71" spans="1:9">
      <c r="A71" s="21"/>
      <c r="B71" s="21"/>
      <c r="C71" s="21"/>
      <c r="H71" s="3"/>
      <c r="I71" s="19"/>
    </row>
    <row r="72" spans="1:9">
      <c r="A72" s="21"/>
      <c r="B72" s="21"/>
      <c r="C72" s="21"/>
      <c r="H72" s="3"/>
      <c r="I72" s="19"/>
    </row>
    <row r="73" spans="1:9">
      <c r="A73" s="21"/>
      <c r="B73" s="21"/>
      <c r="C73" s="21"/>
      <c r="H73" s="3"/>
      <c r="I73" s="19"/>
    </row>
    <row r="74" spans="1:9">
      <c r="A74" s="21"/>
      <c r="B74" s="21"/>
      <c r="C74" s="21"/>
      <c r="H74" s="3"/>
      <c r="I74" s="19"/>
    </row>
    <row r="75" spans="1:9">
      <c r="A75" s="21"/>
      <c r="B75" s="21"/>
      <c r="C75" s="21"/>
      <c r="H75" s="3"/>
      <c r="I75" s="19"/>
    </row>
    <row r="76" spans="1:9">
      <c r="A76" s="21"/>
      <c r="B76" s="21"/>
      <c r="C76" s="21"/>
      <c r="G76" s="3"/>
      <c r="H76" s="4"/>
      <c r="I76" s="19"/>
    </row>
    <row r="77" spans="1:9">
      <c r="A77" s="21"/>
      <c r="B77" s="21"/>
      <c r="C77" s="21"/>
      <c r="G77" s="3"/>
      <c r="H77" s="4"/>
      <c r="I77" s="19"/>
    </row>
    <row r="78" spans="1:9">
      <c r="A78" s="21"/>
      <c r="B78" s="21"/>
      <c r="C78" s="21"/>
      <c r="G78" s="3"/>
      <c r="H78" s="4"/>
      <c r="I78" s="19"/>
    </row>
    <row r="79" spans="1:9">
      <c r="A79" s="21"/>
      <c r="B79" s="21"/>
      <c r="C79" s="21"/>
      <c r="G79" s="3"/>
      <c r="H79" s="4"/>
      <c r="I79" s="19"/>
    </row>
    <row r="80" spans="1:9">
      <c r="A80" s="21"/>
      <c r="B80" s="21"/>
      <c r="C80" s="21"/>
      <c r="G80" s="3"/>
      <c r="H80" s="4"/>
      <c r="I80" s="19"/>
    </row>
    <row r="81" spans="1:9">
      <c r="A81" s="21"/>
      <c r="B81" s="21"/>
      <c r="C81" s="21"/>
      <c r="G81" s="3"/>
      <c r="H81" s="4"/>
      <c r="I81" s="19"/>
    </row>
    <row r="82" spans="1:9">
      <c r="A82" s="21"/>
      <c r="B82" s="21"/>
      <c r="C82" s="21"/>
      <c r="G82" s="3"/>
      <c r="H82" s="4"/>
      <c r="I82" s="19"/>
    </row>
    <row r="83" spans="1:9">
      <c r="A83" s="21"/>
      <c r="B83" s="21"/>
      <c r="C83" s="21"/>
      <c r="G83" s="3"/>
      <c r="H83" s="3"/>
      <c r="I83" s="19"/>
    </row>
    <row r="84" spans="1:9">
      <c r="A84" s="21"/>
      <c r="B84" s="21"/>
      <c r="C84" s="21"/>
      <c r="G84" s="3"/>
      <c r="H84" s="3"/>
      <c r="I84" s="19"/>
    </row>
    <row r="85" spans="1:9">
      <c r="A85" s="21"/>
      <c r="B85" s="21"/>
      <c r="C85" s="21"/>
      <c r="G85" s="3"/>
      <c r="H85" s="3"/>
      <c r="I85" s="19"/>
    </row>
    <row r="86" spans="1:9">
      <c r="A86" s="21"/>
      <c r="B86" s="21"/>
      <c r="C86" s="21"/>
      <c r="G86" s="3"/>
      <c r="H86" s="3"/>
      <c r="I86" s="19"/>
    </row>
    <row r="87" spans="1:9">
      <c r="A87" s="21"/>
      <c r="B87" s="21"/>
      <c r="C87" s="21"/>
      <c r="G87" s="3"/>
      <c r="H87" s="3"/>
      <c r="I87" s="19"/>
    </row>
    <row r="88" spans="1:9">
      <c r="A88" s="21"/>
      <c r="B88" s="21"/>
      <c r="C88" s="21"/>
      <c r="G88" s="3"/>
      <c r="H88" s="3"/>
      <c r="I88" s="19"/>
    </row>
    <row r="89" spans="1:9">
      <c r="A89" s="21"/>
      <c r="B89" s="21"/>
      <c r="C89" s="21"/>
      <c r="G89" s="3"/>
      <c r="H89" s="3"/>
      <c r="I89" s="19"/>
    </row>
    <row r="90" spans="1:9">
      <c r="A90" s="21"/>
      <c r="B90" s="21"/>
      <c r="C90" s="21"/>
      <c r="I90" s="19"/>
    </row>
    <row r="91" spans="1:9">
      <c r="A91" s="21"/>
      <c r="B91" s="21"/>
      <c r="C91" s="21"/>
      <c r="I91" s="19"/>
    </row>
    <row r="92" spans="1:9">
      <c r="A92" s="21"/>
      <c r="B92" s="21"/>
      <c r="C92" s="21"/>
      <c r="I92" s="19"/>
    </row>
    <row r="93" spans="1:9">
      <c r="A93" s="21"/>
      <c r="B93" s="21"/>
      <c r="C93" s="21"/>
      <c r="I93" s="19"/>
    </row>
    <row r="94" spans="1:9">
      <c r="A94" s="21"/>
      <c r="B94" s="21"/>
      <c r="C94" s="21"/>
      <c r="G94" s="3"/>
      <c r="H94" s="3"/>
      <c r="I94" s="19"/>
    </row>
    <row r="95" spans="1:9">
      <c r="A95" s="21"/>
      <c r="B95" s="21"/>
      <c r="C95" s="21"/>
      <c r="G95" s="3"/>
      <c r="H95" s="3"/>
      <c r="I95" s="19"/>
    </row>
    <row r="96" spans="1:9">
      <c r="A96" s="21"/>
      <c r="B96" s="21"/>
      <c r="C96" s="21"/>
      <c r="G96" s="3"/>
      <c r="H96" s="3"/>
      <c r="I96" s="19"/>
    </row>
    <row r="97" spans="1:9">
      <c r="A97" s="21"/>
      <c r="B97" s="21"/>
      <c r="C97" s="21"/>
      <c r="G97" s="3"/>
      <c r="H97" s="3"/>
      <c r="I97" s="19"/>
    </row>
    <row r="98" spans="1:9">
      <c r="A98" s="21"/>
      <c r="B98" s="21"/>
      <c r="C98" s="21"/>
      <c r="G98" s="3"/>
      <c r="H98" s="3"/>
      <c r="I98" s="19"/>
    </row>
    <row r="99" spans="1:9">
      <c r="A99" s="21"/>
      <c r="B99" s="21"/>
      <c r="C99" s="21"/>
      <c r="G99" s="3"/>
      <c r="H99" s="3"/>
      <c r="I99" s="19"/>
    </row>
    <row r="100" spans="1:9">
      <c r="A100" s="21"/>
      <c r="B100" s="21"/>
      <c r="C100" s="21"/>
      <c r="G100" s="3"/>
      <c r="H100" s="3"/>
      <c r="I100" s="19"/>
    </row>
    <row r="101" spans="1:9">
      <c r="A101" s="21"/>
      <c r="B101" s="21"/>
      <c r="C101" s="21"/>
      <c r="G101" s="3"/>
      <c r="H101" s="3"/>
      <c r="I101" s="19"/>
    </row>
    <row r="102" spans="1:9">
      <c r="A102" s="21"/>
      <c r="B102" s="21"/>
      <c r="C102" s="21"/>
      <c r="G102" s="3"/>
      <c r="H102" s="3"/>
      <c r="I102" s="19"/>
    </row>
    <row r="103" spans="1:9">
      <c r="A103" s="21"/>
      <c r="B103" s="21"/>
      <c r="C103" s="21"/>
      <c r="G103" s="3"/>
      <c r="H103" s="3"/>
      <c r="I103" s="19"/>
    </row>
    <row r="104" spans="1:9">
      <c r="A104" s="21"/>
      <c r="B104" s="21"/>
      <c r="C104" s="21"/>
      <c r="G104" s="3"/>
      <c r="H104" s="3"/>
      <c r="I104" s="19"/>
    </row>
    <row r="105" spans="1:9">
      <c r="A105" s="21"/>
      <c r="B105" s="21"/>
      <c r="C105" s="21"/>
      <c r="G105" s="3"/>
      <c r="H105" s="3"/>
      <c r="I105" s="19"/>
    </row>
    <row r="106" spans="1:9">
      <c r="A106" s="21"/>
      <c r="B106" s="21"/>
      <c r="C106" s="21"/>
      <c r="G106" s="3"/>
      <c r="H106" s="3"/>
      <c r="I106" s="19"/>
    </row>
    <row r="107" spans="1:9">
      <c r="A107" s="21"/>
      <c r="B107" s="21"/>
      <c r="C107" s="21"/>
      <c r="G107" s="3"/>
      <c r="H107" s="3"/>
      <c r="I107" s="19"/>
    </row>
    <row r="108" spans="1:9">
      <c r="A108" s="21"/>
      <c r="B108" s="21"/>
      <c r="C108" s="21"/>
      <c r="G108" s="3"/>
      <c r="H108" s="3"/>
      <c r="I108" s="19"/>
    </row>
    <row r="109" spans="1:9">
      <c r="A109" s="21"/>
      <c r="B109" s="21"/>
      <c r="C109" s="21"/>
      <c r="G109" s="3"/>
      <c r="H109" s="3"/>
      <c r="I109" s="19"/>
    </row>
    <row r="110" spans="1:9">
      <c r="A110" s="21"/>
      <c r="B110" s="21"/>
      <c r="C110" s="21"/>
      <c r="G110" s="3"/>
      <c r="H110" s="3"/>
      <c r="I110" s="19"/>
    </row>
    <row r="111" spans="1:9">
      <c r="A111" s="21"/>
      <c r="B111" s="21"/>
      <c r="C111" s="21"/>
      <c r="G111" s="3"/>
      <c r="H111" s="3"/>
      <c r="I111" s="19"/>
    </row>
    <row r="112" spans="1:9">
      <c r="A112" s="21"/>
      <c r="B112" s="21"/>
      <c r="C112" s="21"/>
      <c r="G112" s="3"/>
      <c r="H112" s="3"/>
      <c r="I112" s="19"/>
    </row>
    <row r="113" spans="1:9">
      <c r="A113" s="21"/>
      <c r="B113" s="21"/>
      <c r="C113" s="21"/>
      <c r="G113" s="3"/>
      <c r="H113" s="3"/>
      <c r="I113" s="19"/>
    </row>
    <row r="114" spans="1:9">
      <c r="A114" s="21"/>
      <c r="B114" s="21"/>
      <c r="C114" s="21"/>
      <c r="G114" s="3"/>
      <c r="H114" s="3"/>
      <c r="I114" s="19"/>
    </row>
    <row r="115" spans="1:9">
      <c r="A115" s="21"/>
      <c r="B115" s="21"/>
      <c r="C115" s="21"/>
      <c r="G115" s="3"/>
      <c r="H115" s="3"/>
      <c r="I115" s="19"/>
    </row>
    <row r="116" spans="1:9">
      <c r="A116" s="21"/>
      <c r="B116" s="21"/>
      <c r="C116" s="21"/>
      <c r="G116" s="3"/>
      <c r="H116" s="3"/>
      <c r="I116" s="19"/>
    </row>
    <row r="117" spans="1:9">
      <c r="A117" s="21"/>
      <c r="B117" s="21"/>
      <c r="C117" s="21"/>
      <c r="G117" s="3"/>
      <c r="H117" s="3"/>
      <c r="I117" s="19"/>
    </row>
    <row r="118" spans="1:9">
      <c r="A118" s="21"/>
      <c r="B118" s="21"/>
      <c r="C118" s="21"/>
      <c r="G118" s="3"/>
      <c r="H118" s="3"/>
      <c r="I118" s="19"/>
    </row>
    <row r="119" spans="1:9">
      <c r="A119" s="21"/>
      <c r="B119" s="21"/>
      <c r="C119" s="21"/>
      <c r="G119" s="3"/>
      <c r="H119" s="3"/>
      <c r="I119" s="19"/>
    </row>
    <row r="120" spans="1:9">
      <c r="A120" s="21"/>
      <c r="B120" s="21"/>
      <c r="C120" s="21"/>
      <c r="G120" s="3"/>
      <c r="H120" s="3"/>
      <c r="I120" s="19"/>
    </row>
    <row r="121" spans="1:9">
      <c r="A121" s="21"/>
      <c r="B121" s="21"/>
      <c r="C121" s="21"/>
      <c r="G121" s="3"/>
      <c r="H121" s="3"/>
      <c r="I121" s="19"/>
    </row>
    <row r="122" spans="1:9">
      <c r="A122" s="21"/>
      <c r="B122" s="21"/>
      <c r="C122" s="21"/>
      <c r="G122" s="3"/>
      <c r="H122" s="3"/>
      <c r="I122" s="19"/>
    </row>
    <row r="123" spans="1:9">
      <c r="A123" s="21"/>
      <c r="B123" s="21"/>
      <c r="C123" s="21"/>
      <c r="G123" s="3"/>
      <c r="H123" s="3"/>
      <c r="I123" s="1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CB2D-C84A-4688-B76F-DF6F402C24BB}">
  <dimension ref="A1:P665"/>
  <sheetViews>
    <sheetView zoomScaleNormal="100" workbookViewId="0">
      <pane ySplit="1" topLeftCell="A2" activePane="bottomLeft" state="frozen"/>
      <selection pane="bottomLeft" activeCell="E18" sqref="E18:J18"/>
    </sheetView>
  </sheetViews>
  <sheetFormatPr defaultColWidth="16.28515625" defaultRowHeight="15"/>
  <cols>
    <col min="1" max="1" width="18.140625" style="2" hidden="1" customWidth="1"/>
    <col min="2" max="2" width="14.7109375" hidden="1" customWidth="1"/>
    <col min="3" max="3" width="10.140625" style="2" hidden="1" customWidth="1"/>
    <col min="4" max="4" width="10" hidden="1" customWidth="1"/>
    <col min="5" max="5" width="11.5703125" style="2" customWidth="1"/>
    <col min="6" max="6" width="49.42578125" hidden="1" customWidth="1"/>
    <col min="7" max="7" width="24.7109375" style="23" bestFit="1" customWidth="1"/>
    <col min="8" max="8" width="71" customWidth="1"/>
    <col min="9" max="9" width="47" style="24" bestFit="1" customWidth="1"/>
    <col min="11" max="11" width="17.5703125" style="6" customWidth="1"/>
    <col min="13" max="13" width="16.28515625" style="2"/>
    <col min="15" max="15" width="255.7109375" bestFit="1" customWidth="1"/>
  </cols>
  <sheetData>
    <row r="1" spans="1:16">
      <c r="A1" s="1" t="s">
        <v>33</v>
      </c>
      <c r="B1" s="1" t="s">
        <v>0</v>
      </c>
      <c r="C1" s="1" t="s">
        <v>34</v>
      </c>
      <c r="D1" s="1" t="s">
        <v>1</v>
      </c>
      <c r="E1" s="1" t="s">
        <v>3</v>
      </c>
      <c r="F1" s="1" t="s">
        <v>80</v>
      </c>
      <c r="G1" s="1" t="s">
        <v>83</v>
      </c>
      <c r="H1" s="7" t="s">
        <v>84</v>
      </c>
      <c r="I1" s="5" t="s">
        <v>302</v>
      </c>
      <c r="J1" s="5" t="s">
        <v>12</v>
      </c>
      <c r="K1" s="5" t="s">
        <v>301</v>
      </c>
      <c r="L1" s="19"/>
      <c r="M1" s="19"/>
      <c r="N1" s="19"/>
      <c r="O1" s="19"/>
    </row>
    <row r="2" spans="1:16" ht="15" customHeight="1">
      <c r="A2" s="2">
        <v>1</v>
      </c>
      <c r="B2" t="str">
        <f>IFERROR((_xlfn.XLOOKUP(A2,Diretriz!A:A,Diretriz!B:B)),"")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" s="2" t="s">
        <v>4</v>
      </c>
      <c r="D2" t="str">
        <f>IFERROR((_xlfn.XLOOKUP(C2,Objetivo!C:C,Objetivo!D:D)), "")</f>
        <v>Fortalecer a Atenção Primária para apoiar o desenvolvimento de ações em saúde no estado.</v>
      </c>
      <c r="E2" s="21" t="s">
        <v>35</v>
      </c>
      <c r="F2" s="20" t="str">
        <f>IFERROR(_xlfn.XLOOKUP(E2,#REF!,#REF!), "")</f>
        <v/>
      </c>
      <c r="G2" s="23" t="s">
        <v>85</v>
      </c>
      <c r="H2" s="22" t="s">
        <v>449</v>
      </c>
      <c r="I2" s="24" t="s">
        <v>455</v>
      </c>
      <c r="J2" s="6" t="s">
        <v>374</v>
      </c>
      <c r="K2" s="6">
        <v>49</v>
      </c>
      <c r="M2" s="6"/>
      <c r="P2" s="19"/>
    </row>
    <row r="3" spans="1:16" ht="15" customHeight="1">
      <c r="A3" s="2">
        <v>1</v>
      </c>
      <c r="B3" t="str">
        <f>IFERROR((_xlfn.XLOOKUP(A3,Diretriz!A:A,Diretriz!B:B)),"")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" s="2" t="s">
        <v>4</v>
      </c>
      <c r="D3" t="str">
        <f>IFERROR((_xlfn.XLOOKUP(C3,Objetivo!C:C,Objetivo!D:D)), "")</f>
        <v>Fortalecer a Atenção Primária para apoiar o desenvolvimento de ações em saúde no estado.</v>
      </c>
      <c r="E3" s="21" t="s">
        <v>35</v>
      </c>
      <c r="F3" s="20" t="str">
        <f>IFERROR(_xlfn.XLOOKUP(E3,#REF!,#REF!), "")</f>
        <v/>
      </c>
      <c r="G3" s="23" t="s">
        <v>86</v>
      </c>
      <c r="H3" s="22" t="s">
        <v>450</v>
      </c>
      <c r="I3" s="24" t="s">
        <v>456</v>
      </c>
      <c r="J3" s="6" t="s">
        <v>374</v>
      </c>
      <c r="K3" s="6">
        <v>6</v>
      </c>
      <c r="M3" s="6"/>
      <c r="P3" s="19"/>
    </row>
    <row r="4" spans="1:16" ht="15" customHeight="1">
      <c r="A4" s="2">
        <v>1</v>
      </c>
      <c r="B4" t="str">
        <f>IFERROR((_xlfn.XLOOKUP(A4,Diretriz!A:A,Diretriz!B:B)),"")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" s="2" t="s">
        <v>4</v>
      </c>
      <c r="D4" t="str">
        <f>IFERROR((_xlfn.XLOOKUP(C4,Objetivo!C:C,Objetivo!D:D)), "")</f>
        <v>Fortalecer a Atenção Primária para apoiar o desenvolvimento de ações em saúde no estado.</v>
      </c>
      <c r="E4" s="21" t="s">
        <v>35</v>
      </c>
      <c r="F4" s="20" t="str">
        <f>IFERROR(_xlfn.XLOOKUP(E4,#REF!,#REF!), "")</f>
        <v/>
      </c>
      <c r="G4" s="23" t="s">
        <v>87</v>
      </c>
      <c r="H4" s="22" t="s">
        <v>451</v>
      </c>
      <c r="I4" s="24" t="s">
        <v>456</v>
      </c>
      <c r="J4" s="6" t="s">
        <v>374</v>
      </c>
      <c r="K4" s="6">
        <v>5</v>
      </c>
      <c r="M4" s="6"/>
      <c r="P4" s="19"/>
    </row>
    <row r="5" spans="1:16" ht="15" customHeight="1">
      <c r="A5" s="2">
        <v>1</v>
      </c>
      <c r="B5" t="str">
        <f>IFERROR((_xlfn.XLOOKUP(A5,Diretriz!A:A,Diretriz!B:B)),"")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" s="2" t="s">
        <v>4</v>
      </c>
      <c r="D5" t="str">
        <f>IFERROR((_xlfn.XLOOKUP(C5,Objetivo!C:C,Objetivo!D:D)), "")</f>
        <v>Fortalecer a Atenção Primária para apoiar o desenvolvimento de ações em saúde no estado.</v>
      </c>
      <c r="E5" s="21" t="s">
        <v>35</v>
      </c>
      <c r="F5" s="20" t="str">
        <f>IFERROR(_xlfn.XLOOKUP(E5,#REF!,#REF!), "")</f>
        <v/>
      </c>
      <c r="G5" s="23" t="s">
        <v>88</v>
      </c>
      <c r="H5" s="22" t="s">
        <v>452</v>
      </c>
      <c r="I5" s="24" t="s">
        <v>457</v>
      </c>
      <c r="J5" s="6" t="s">
        <v>374</v>
      </c>
      <c r="K5" s="6">
        <v>4</v>
      </c>
      <c r="M5" s="6"/>
      <c r="P5" s="19"/>
    </row>
    <row r="6" spans="1:16" ht="15" customHeight="1">
      <c r="A6" s="2">
        <v>1</v>
      </c>
      <c r="B6" t="str">
        <f>IFERROR((_xlfn.XLOOKUP(A6,Diretriz!A:A,Diretriz!B:B)),"")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" s="2" t="s">
        <v>4</v>
      </c>
      <c r="D6" t="str">
        <f>IFERROR((_xlfn.XLOOKUP(C6,Objetivo!C:C,Objetivo!D:D)), "")</f>
        <v>Fortalecer a Atenção Primária para apoiar o desenvolvimento de ações em saúde no estado.</v>
      </c>
      <c r="E6" s="21" t="s">
        <v>35</v>
      </c>
      <c r="F6" s="20" t="str">
        <f>IFERROR(_xlfn.XLOOKUP(E6,#REF!,#REF!), "")</f>
        <v/>
      </c>
      <c r="G6" s="23" t="s">
        <v>89</v>
      </c>
      <c r="H6" s="22" t="s">
        <v>453</v>
      </c>
      <c r="I6" s="24" t="s">
        <v>458</v>
      </c>
      <c r="J6" s="6" t="s">
        <v>374</v>
      </c>
      <c r="K6" s="6">
        <v>4</v>
      </c>
      <c r="M6" s="6"/>
      <c r="P6" s="19"/>
    </row>
    <row r="7" spans="1:16">
      <c r="A7" s="2">
        <v>1</v>
      </c>
      <c r="B7" t="str">
        <f>IFERROR((_xlfn.XLOOKUP(A7,Diretriz!A:A,Diretriz!B:B)),"")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" s="2" t="s">
        <v>4</v>
      </c>
      <c r="D7" t="str">
        <f>IFERROR((_xlfn.XLOOKUP(C7,Objetivo!C:C,Objetivo!D:D)), "")</f>
        <v>Fortalecer a Atenção Primária para apoiar o desenvolvimento de ações em saúde no estado.</v>
      </c>
      <c r="E7" s="21" t="s">
        <v>35</v>
      </c>
      <c r="F7" s="20" t="str">
        <f>IFERROR(_xlfn.XLOOKUP(E7,#REF!,#REF!), "")</f>
        <v/>
      </c>
      <c r="G7" s="23" t="s">
        <v>90</v>
      </c>
      <c r="H7" s="22" t="s">
        <v>454</v>
      </c>
      <c r="I7" s="24" t="s">
        <v>459</v>
      </c>
      <c r="J7" s="6" t="s">
        <v>374</v>
      </c>
      <c r="K7" s="6">
        <v>1</v>
      </c>
      <c r="M7" s="6"/>
      <c r="P7" s="19"/>
    </row>
    <row r="8" spans="1:16">
      <c r="A8" s="2">
        <v>1</v>
      </c>
      <c r="B8" t="str">
        <f>IFERROR((_xlfn.XLOOKUP(A8,Diretriz!A:A,Diretriz!B:B)),"")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" s="2" t="s">
        <v>4</v>
      </c>
      <c r="D8" t="str">
        <f>IFERROR((_xlfn.XLOOKUP(C8,Objetivo!C:C,Objetivo!D:D)), "")</f>
        <v>Fortalecer a Atenção Primária para apoiar o desenvolvimento de ações em saúde no estado.</v>
      </c>
      <c r="E8" s="21" t="s">
        <v>36</v>
      </c>
      <c r="F8" s="20" t="str">
        <f>IFERROR(_xlfn.XLOOKUP(E8,#REF!,#REF!), "")</f>
        <v/>
      </c>
      <c r="G8" s="22" t="s">
        <v>91</v>
      </c>
      <c r="H8" t="s">
        <v>92</v>
      </c>
      <c r="I8" s="24" t="s">
        <v>308</v>
      </c>
      <c r="J8" s="6" t="s">
        <v>374</v>
      </c>
      <c r="K8" s="6">
        <v>1</v>
      </c>
      <c r="M8" s="6"/>
      <c r="P8" s="19"/>
    </row>
    <row r="9" spans="1:16">
      <c r="A9" s="2">
        <v>1</v>
      </c>
      <c r="B9" t="str">
        <f>IFERROR((_xlfn.XLOOKUP(A9,Diretriz!A:A,Diretriz!B:B)),"")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" s="2" t="s">
        <v>4</v>
      </c>
      <c r="D9" t="str">
        <f>IFERROR((_xlfn.XLOOKUP(C9,Objetivo!C:C,Objetivo!D:D)), "")</f>
        <v>Fortalecer a Atenção Primária para apoiar o desenvolvimento de ações em saúde no estado.</v>
      </c>
      <c r="E9" s="21" t="s">
        <v>36</v>
      </c>
      <c r="F9" s="20" t="str">
        <f>IFERROR(_xlfn.XLOOKUP(E9,#REF!,#REF!), "")</f>
        <v/>
      </c>
      <c r="G9" s="22" t="s">
        <v>93</v>
      </c>
      <c r="H9" t="s">
        <v>460</v>
      </c>
      <c r="I9" s="24" t="s">
        <v>457</v>
      </c>
      <c r="J9" s="6" t="s">
        <v>374</v>
      </c>
      <c r="K9" s="6">
        <v>3</v>
      </c>
      <c r="M9" s="6"/>
      <c r="P9" s="19"/>
    </row>
    <row r="10" spans="1:16">
      <c r="A10" s="2">
        <v>1</v>
      </c>
      <c r="B10" t="str">
        <f>IFERROR((_xlfn.XLOOKUP(A10,Diretriz!A:A,Diretriz!B:B)),"")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" s="2" t="s">
        <v>4</v>
      </c>
      <c r="D10" t="str">
        <f>IFERROR((_xlfn.XLOOKUP(C10,Objetivo!C:C,Objetivo!D:D)), "")</f>
        <v>Fortalecer a Atenção Primária para apoiar o desenvolvimento de ações em saúde no estado.</v>
      </c>
      <c r="E10" s="21" t="s">
        <v>36</v>
      </c>
      <c r="F10" s="20" t="str">
        <f>IFERROR(_xlfn.XLOOKUP(E10,#REF!,#REF!), "")</f>
        <v/>
      </c>
      <c r="G10" s="22" t="s">
        <v>94</v>
      </c>
      <c r="H10" t="s">
        <v>461</v>
      </c>
      <c r="I10" s="24" t="s">
        <v>458</v>
      </c>
      <c r="J10" s="6" t="s">
        <v>374</v>
      </c>
      <c r="K10" s="6">
        <v>56</v>
      </c>
      <c r="M10" s="6"/>
      <c r="P10" s="19"/>
    </row>
    <row r="11" spans="1:16">
      <c r="A11" s="2">
        <v>1</v>
      </c>
      <c r="B11" t="str">
        <f>IFERROR((_xlfn.XLOOKUP(A11,Diretriz!A:A,Diretriz!B:B)),"")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" s="2" t="s">
        <v>4</v>
      </c>
      <c r="D11" t="str">
        <f>IFERROR((_xlfn.XLOOKUP(C11,Objetivo!C:C,Objetivo!D:D)), "")</f>
        <v>Fortalecer a Atenção Primária para apoiar o desenvolvimento de ações em saúde no estado.</v>
      </c>
      <c r="E11" s="21" t="s">
        <v>37</v>
      </c>
      <c r="F11" s="20" t="str">
        <f>IFERROR(_xlfn.XLOOKUP(E11,#REF!,#REF!), "")</f>
        <v/>
      </c>
      <c r="G11" s="22" t="s">
        <v>96</v>
      </c>
      <c r="H11" t="s">
        <v>462</v>
      </c>
      <c r="I11" s="24" t="s">
        <v>467</v>
      </c>
      <c r="J11" s="6" t="s">
        <v>374</v>
      </c>
      <c r="K11" s="6">
        <v>2</v>
      </c>
      <c r="M11" s="6"/>
      <c r="P11" s="19"/>
    </row>
    <row r="12" spans="1:16">
      <c r="A12" s="2">
        <v>1</v>
      </c>
      <c r="B12" t="str">
        <f>IFERROR((_xlfn.XLOOKUP(A12,Diretriz!A:A,Diretriz!B:B)),"")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" s="2" t="s">
        <v>4</v>
      </c>
      <c r="D12" t="str">
        <f>IFERROR((_xlfn.XLOOKUP(C12,Objetivo!C:C,Objetivo!D:D)), "")</f>
        <v>Fortalecer a Atenção Primária para apoiar o desenvolvimento de ações em saúde no estado.</v>
      </c>
      <c r="E12" s="21" t="s">
        <v>37</v>
      </c>
      <c r="F12" s="20" t="str">
        <f>IFERROR(_xlfn.XLOOKUP(E12,#REF!,#REF!), "")</f>
        <v/>
      </c>
      <c r="G12" s="22" t="s">
        <v>97</v>
      </c>
      <c r="H12" t="s">
        <v>463</v>
      </c>
      <c r="I12" s="24" t="s">
        <v>467</v>
      </c>
      <c r="J12" s="6" t="s">
        <v>374</v>
      </c>
      <c r="K12" s="6">
        <v>2</v>
      </c>
      <c r="M12" s="6"/>
      <c r="P12" s="19"/>
    </row>
    <row r="13" spans="1:16">
      <c r="A13" s="2">
        <v>1</v>
      </c>
      <c r="B13" t="str">
        <f>IFERROR((_xlfn.XLOOKUP(A13,Diretriz!A:A,Diretriz!B:B)),"")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3" s="2" t="s">
        <v>4</v>
      </c>
      <c r="D13" t="str">
        <f>IFERROR((_xlfn.XLOOKUP(C13,Objetivo!C:C,Objetivo!D:D)), "")</f>
        <v>Fortalecer a Atenção Primária para apoiar o desenvolvimento de ações em saúde no estado.</v>
      </c>
      <c r="E13" s="21" t="s">
        <v>37</v>
      </c>
      <c r="F13" s="20" t="str">
        <f>IFERROR(_xlfn.XLOOKUP(E13,#REF!,#REF!), "")</f>
        <v/>
      </c>
      <c r="G13" s="22" t="s">
        <v>98</v>
      </c>
      <c r="H13" t="s">
        <v>464</v>
      </c>
      <c r="I13" s="24" t="s">
        <v>467</v>
      </c>
      <c r="J13" s="6" t="s">
        <v>374</v>
      </c>
      <c r="K13" s="6">
        <v>2</v>
      </c>
      <c r="M13" s="6"/>
      <c r="P13" s="19"/>
    </row>
    <row r="14" spans="1:16">
      <c r="A14" s="2">
        <v>1</v>
      </c>
      <c r="B14" t="str">
        <f>IFERROR((_xlfn.XLOOKUP(A14,Diretriz!A:A,Diretriz!B:B)),"")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4" s="2" t="s">
        <v>4</v>
      </c>
      <c r="D14" t="str">
        <f>IFERROR((_xlfn.XLOOKUP(C14,Objetivo!C:C,Objetivo!D:D)), "")</f>
        <v>Fortalecer a Atenção Primária para apoiar o desenvolvimento de ações em saúde no estado.</v>
      </c>
      <c r="E14" s="21" t="s">
        <v>37</v>
      </c>
      <c r="F14" s="20" t="str">
        <f>IFERROR(_xlfn.XLOOKUP(E14,#REF!,#REF!), "")</f>
        <v/>
      </c>
      <c r="G14" s="22" t="s">
        <v>99</v>
      </c>
      <c r="H14" t="s">
        <v>465</v>
      </c>
      <c r="I14" s="24" t="s">
        <v>467</v>
      </c>
      <c r="J14" s="6" t="s">
        <v>374</v>
      </c>
      <c r="K14" s="6">
        <v>1</v>
      </c>
      <c r="M14" s="6"/>
      <c r="P14" s="19"/>
    </row>
    <row r="15" spans="1:16">
      <c r="A15" s="2">
        <v>1</v>
      </c>
      <c r="B15" t="str">
        <f>IFERROR((_xlfn.XLOOKUP(A15,Diretriz!A:A,Diretriz!B:B)),"")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5" s="2" t="s">
        <v>4</v>
      </c>
      <c r="D15" t="str">
        <f>IFERROR((_xlfn.XLOOKUP(C15,Objetivo!C:C,Objetivo!D:D)), "")</f>
        <v>Fortalecer a Atenção Primária para apoiar o desenvolvimento de ações em saúde no estado.</v>
      </c>
      <c r="E15" s="21" t="s">
        <v>37</v>
      </c>
      <c r="F15" s="20" t="str">
        <f>IFERROR(_xlfn.XLOOKUP(E15,#REF!,#REF!), "")</f>
        <v/>
      </c>
      <c r="G15" s="22" t="s">
        <v>100</v>
      </c>
      <c r="H15" t="s">
        <v>466</v>
      </c>
      <c r="I15" s="24" t="s">
        <v>308</v>
      </c>
      <c r="J15" s="6" t="s">
        <v>374</v>
      </c>
      <c r="K15" s="6">
        <v>1</v>
      </c>
      <c r="M15" s="6"/>
      <c r="P15" s="19"/>
    </row>
    <row r="16" spans="1:16">
      <c r="A16" s="29">
        <v>1</v>
      </c>
      <c r="B16" s="30" t="str">
        <f>IFERROR((_xlfn.XLOOKUP(A16,Diretriz!A:A,Diretriz!B:B)),"")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6" s="29" t="s">
        <v>4</v>
      </c>
      <c r="D16" s="30" t="str">
        <f>IFERROR((_xlfn.XLOOKUP(C16,Objetivo!C:C,Objetivo!D:D)), "")</f>
        <v>Fortalecer a Atenção Primária para apoiar o desenvolvimento de ações em saúde no estado.</v>
      </c>
      <c r="E16" s="31" t="s">
        <v>38</v>
      </c>
      <c r="F16" s="32" t="str">
        <f>IFERROR(_xlfn.XLOOKUP(E16,#REF!,#REF!), "")</f>
        <v/>
      </c>
      <c r="G16" s="33" t="s">
        <v>101</v>
      </c>
      <c r="H16" s="30" t="s">
        <v>468</v>
      </c>
      <c r="I16" s="34" t="s">
        <v>471</v>
      </c>
      <c r="J16" s="35" t="s">
        <v>374</v>
      </c>
      <c r="K16" s="35">
        <v>6</v>
      </c>
      <c r="M16" s="6"/>
      <c r="P16" s="19"/>
    </row>
    <row r="17" spans="1:16">
      <c r="A17" s="29">
        <v>1</v>
      </c>
      <c r="B17" s="30" t="str">
        <f>IFERROR((_xlfn.XLOOKUP(A17,Diretriz!A:A,Diretriz!B:B)),"")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7" s="29" t="s">
        <v>4</v>
      </c>
      <c r="D17" s="30" t="str">
        <f>IFERROR((_xlfn.XLOOKUP(C17,Objetivo!C:C,Objetivo!D:D)), "")</f>
        <v>Fortalecer a Atenção Primária para apoiar o desenvolvimento de ações em saúde no estado.</v>
      </c>
      <c r="E17" s="31" t="s">
        <v>38</v>
      </c>
      <c r="F17" s="32" t="str">
        <f>IFERROR(_xlfn.XLOOKUP(E17,#REF!,#REF!), "")</f>
        <v/>
      </c>
      <c r="G17" s="33" t="s">
        <v>102</v>
      </c>
      <c r="H17" s="30" t="s">
        <v>469</v>
      </c>
      <c r="I17" s="34" t="s">
        <v>471</v>
      </c>
      <c r="J17" s="35" t="s">
        <v>374</v>
      </c>
      <c r="K17" s="35">
        <v>47</v>
      </c>
      <c r="M17" s="6"/>
      <c r="P17" s="19"/>
    </row>
    <row r="18" spans="1:16">
      <c r="A18" s="29">
        <v>1</v>
      </c>
      <c r="B18" s="30" t="str">
        <f>IFERROR((_xlfn.XLOOKUP(A18,Diretriz!A:A,Diretriz!B:B)),"")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8" s="29" t="s">
        <v>4</v>
      </c>
      <c r="D18" s="30" t="str">
        <f>IFERROR((_xlfn.XLOOKUP(C18,Objetivo!C:C,Objetivo!D:D)), "")</f>
        <v>Fortalecer a Atenção Primária para apoiar o desenvolvimento de ações em saúde no estado.</v>
      </c>
      <c r="E18" s="31" t="s">
        <v>38</v>
      </c>
      <c r="F18" s="32" t="str">
        <f>IFERROR(_xlfn.XLOOKUP(E18,#REF!,#REF!), "")</f>
        <v/>
      </c>
      <c r="G18" s="33" t="s">
        <v>103</v>
      </c>
      <c r="H18" s="30" t="s">
        <v>470</v>
      </c>
      <c r="I18" s="34" t="s">
        <v>306</v>
      </c>
      <c r="J18" s="35" t="s">
        <v>374</v>
      </c>
      <c r="K18" s="35">
        <v>1</v>
      </c>
      <c r="M18" s="6"/>
      <c r="P18" s="19"/>
    </row>
    <row r="19" spans="1:16">
      <c r="A19" s="29">
        <v>1</v>
      </c>
      <c r="B19" s="30" t="str">
        <f>IFERROR((_xlfn.XLOOKUP(A19,Diretriz!A:A,Diretriz!B:B)),"")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9" s="29" t="s">
        <v>4</v>
      </c>
      <c r="D19" s="30" t="str">
        <f>IFERROR((_xlfn.XLOOKUP(C19,Objetivo!C:C,Objetivo!D:D)), "")</f>
        <v>Fortalecer a Atenção Primária para apoiar o desenvolvimento de ações em saúde no estado.</v>
      </c>
      <c r="E19" s="31" t="s">
        <v>39</v>
      </c>
      <c r="F19" s="32" t="str">
        <f>IFERROR(_xlfn.XLOOKUP(E19,#REF!,#REF!), "")</f>
        <v/>
      </c>
      <c r="G19" s="33" t="s">
        <v>104</v>
      </c>
      <c r="H19" s="30" t="s">
        <v>472</v>
      </c>
      <c r="I19" s="34" t="s">
        <v>457</v>
      </c>
      <c r="J19" s="35" t="s">
        <v>374</v>
      </c>
      <c r="K19" s="35">
        <v>2</v>
      </c>
      <c r="M19" s="6"/>
      <c r="P19" s="19"/>
    </row>
    <row r="20" spans="1:16">
      <c r="A20" s="29">
        <v>1</v>
      </c>
      <c r="B20" s="30" t="str">
        <f>IFERROR((_xlfn.XLOOKUP(A20,Diretriz!A:A,Diretriz!B:B)),"")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0" s="29" t="s">
        <v>4</v>
      </c>
      <c r="D20" s="30" t="str">
        <f>IFERROR((_xlfn.XLOOKUP(C20,Objetivo!C:C,Objetivo!D:D)), "")</f>
        <v>Fortalecer a Atenção Primária para apoiar o desenvolvimento de ações em saúde no estado.</v>
      </c>
      <c r="E20" s="31" t="s">
        <v>39</v>
      </c>
      <c r="F20" s="32" t="str">
        <f>IFERROR(_xlfn.XLOOKUP(E20,#REF!,#REF!), "")</f>
        <v/>
      </c>
      <c r="G20" s="33" t="s">
        <v>105</v>
      </c>
      <c r="H20" s="30" t="s">
        <v>473</v>
      </c>
      <c r="I20" s="34" t="s">
        <v>457</v>
      </c>
      <c r="J20" s="35" t="s">
        <v>374</v>
      </c>
      <c r="K20" s="35">
        <v>3</v>
      </c>
      <c r="M20" s="6"/>
      <c r="P20" s="19"/>
    </row>
    <row r="21" spans="1:16">
      <c r="A21" s="29">
        <v>1</v>
      </c>
      <c r="B21" s="30" t="str">
        <f>IFERROR((_xlfn.XLOOKUP(A21,Diretriz!A:A,Diretriz!B:B)),"")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1" s="29" t="s">
        <v>4</v>
      </c>
      <c r="D21" s="30" t="str">
        <f>IFERROR((_xlfn.XLOOKUP(C21,Objetivo!C:C,Objetivo!D:D)), "")</f>
        <v>Fortalecer a Atenção Primária para apoiar o desenvolvimento de ações em saúde no estado.</v>
      </c>
      <c r="E21" s="31" t="s">
        <v>39</v>
      </c>
      <c r="F21" s="32" t="str">
        <f>IFERROR(_xlfn.XLOOKUP(E21,#REF!,#REF!), "")</f>
        <v/>
      </c>
      <c r="G21" s="33" t="s">
        <v>106</v>
      </c>
      <c r="H21" s="30" t="s">
        <v>474</v>
      </c>
      <c r="I21" s="34" t="s">
        <v>306</v>
      </c>
      <c r="J21" s="35" t="s">
        <v>374</v>
      </c>
      <c r="K21" s="35">
        <v>1</v>
      </c>
      <c r="M21" s="6"/>
      <c r="P21" s="19"/>
    </row>
    <row r="22" spans="1:16">
      <c r="A22" s="29">
        <v>1</v>
      </c>
      <c r="B22" s="30" t="str">
        <f>IFERROR((_xlfn.XLOOKUP(A22,Diretriz!A:A,Diretriz!B:B)),"")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2" s="29" t="s">
        <v>4</v>
      </c>
      <c r="D22" s="30" t="str">
        <f>IFERROR((_xlfn.XLOOKUP(C22,Objetivo!C:C,Objetivo!D:D)), "")</f>
        <v>Fortalecer a Atenção Primária para apoiar o desenvolvimento de ações em saúde no estado.</v>
      </c>
      <c r="E22" s="31" t="s">
        <v>39</v>
      </c>
      <c r="F22" s="32" t="str">
        <f>IFERROR(_xlfn.XLOOKUP(E22,#REF!,#REF!), "")</f>
        <v/>
      </c>
      <c r="G22" s="33" t="s">
        <v>107</v>
      </c>
      <c r="H22" s="30" t="s">
        <v>475</v>
      </c>
      <c r="I22" s="34" t="s">
        <v>308</v>
      </c>
      <c r="J22" s="35" t="s">
        <v>374</v>
      </c>
      <c r="K22" s="35">
        <v>1</v>
      </c>
      <c r="M22" s="6"/>
      <c r="P22" s="19"/>
    </row>
    <row r="23" spans="1:16">
      <c r="A23" s="29">
        <v>1</v>
      </c>
      <c r="B23" s="30" t="str">
        <f>IFERROR((_xlfn.XLOOKUP(A23,Diretriz!A:A,Diretriz!B:B)),"")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3" s="29" t="s">
        <v>4</v>
      </c>
      <c r="D23" s="30" t="str">
        <f>IFERROR((_xlfn.XLOOKUP(C23,Objetivo!C:C,Objetivo!D:D)), "")</f>
        <v>Fortalecer a Atenção Primária para apoiar o desenvolvimento de ações em saúde no estado.</v>
      </c>
      <c r="E23" s="31" t="s">
        <v>39</v>
      </c>
      <c r="F23" s="32" t="str">
        <f>IFERROR(_xlfn.XLOOKUP(E23,#REF!,#REF!), "")</f>
        <v/>
      </c>
      <c r="G23" s="33" t="s">
        <v>108</v>
      </c>
      <c r="H23" s="30" t="s">
        <v>476</v>
      </c>
      <c r="I23" s="34" t="s">
        <v>457</v>
      </c>
      <c r="J23" s="35" t="s">
        <v>374</v>
      </c>
      <c r="K23" s="35">
        <v>5</v>
      </c>
      <c r="M23" s="6"/>
      <c r="P23" s="19"/>
    </row>
    <row r="24" spans="1:16">
      <c r="A24" s="29">
        <v>1</v>
      </c>
      <c r="B24" s="30" t="str">
        <f>IFERROR((_xlfn.XLOOKUP(A24,Diretriz!A:A,Diretriz!B:B)),"")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4" s="29" t="s">
        <v>4</v>
      </c>
      <c r="D24" s="30" t="str">
        <f>IFERROR((_xlfn.XLOOKUP(C24,Objetivo!C:C,Objetivo!D:D)), "")</f>
        <v>Fortalecer a Atenção Primária para apoiar o desenvolvimento de ações em saúde no estado.</v>
      </c>
      <c r="E24" s="31" t="s">
        <v>39</v>
      </c>
      <c r="F24" s="32" t="str">
        <f>IFERROR(_xlfn.XLOOKUP(E24,#REF!,#REF!), "")</f>
        <v/>
      </c>
      <c r="G24" s="33" t="s">
        <v>109</v>
      </c>
      <c r="H24" s="30" t="s">
        <v>477</v>
      </c>
      <c r="I24" s="34" t="s">
        <v>457</v>
      </c>
      <c r="J24" s="35" t="s">
        <v>374</v>
      </c>
      <c r="K24" s="35">
        <v>2</v>
      </c>
      <c r="M24" s="6"/>
      <c r="P24" s="19"/>
    </row>
    <row r="25" spans="1:16">
      <c r="A25" s="29">
        <v>1</v>
      </c>
      <c r="B25" s="30" t="str">
        <f>IFERROR((_xlfn.XLOOKUP(A25,Diretriz!A:A,Diretriz!B:B)),"")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5" s="29" t="s">
        <v>4</v>
      </c>
      <c r="D25" s="30" t="str">
        <f>IFERROR((_xlfn.XLOOKUP(C25,Objetivo!C:C,Objetivo!D:D)), "")</f>
        <v>Fortalecer a Atenção Primária para apoiar o desenvolvimento de ações em saúde no estado.</v>
      </c>
      <c r="E25" s="31" t="s">
        <v>40</v>
      </c>
      <c r="F25" s="32" t="str">
        <f>IFERROR(_xlfn.XLOOKUP(E25,#REF!,#REF!), "")</f>
        <v/>
      </c>
      <c r="G25" s="33" t="s">
        <v>110</v>
      </c>
      <c r="H25" s="30" t="s">
        <v>478</v>
      </c>
      <c r="I25" s="34" t="s">
        <v>457</v>
      </c>
      <c r="J25" s="35" t="s">
        <v>374</v>
      </c>
      <c r="K25" s="35">
        <v>2</v>
      </c>
      <c r="M25" s="6"/>
      <c r="P25" s="19"/>
    </row>
    <row r="26" spans="1:16">
      <c r="A26" s="29">
        <v>1</v>
      </c>
      <c r="B26" s="30" t="str">
        <f>IFERROR((_xlfn.XLOOKUP(A26,Diretriz!A:A,Diretriz!B:B)),"")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6" s="29" t="s">
        <v>4</v>
      </c>
      <c r="D26" s="30" t="str">
        <f>IFERROR((_xlfn.XLOOKUP(C26,Objetivo!C:C,Objetivo!D:D)), "")</f>
        <v>Fortalecer a Atenção Primária para apoiar o desenvolvimento de ações em saúde no estado.</v>
      </c>
      <c r="E26" s="31" t="s">
        <v>40</v>
      </c>
      <c r="F26" s="32" t="str">
        <f>IFERROR(_xlfn.XLOOKUP(E26,#REF!,#REF!), "")</f>
        <v/>
      </c>
      <c r="G26" s="33" t="s">
        <v>118</v>
      </c>
      <c r="H26" s="30" t="s">
        <v>479</v>
      </c>
      <c r="I26" s="34" t="s">
        <v>457</v>
      </c>
      <c r="J26" s="35" t="s">
        <v>374</v>
      </c>
      <c r="K26" s="35">
        <v>5</v>
      </c>
      <c r="M26" s="6"/>
      <c r="P26" s="19"/>
    </row>
    <row r="27" spans="1:16">
      <c r="A27" s="29">
        <v>1</v>
      </c>
      <c r="B27" s="30" t="str">
        <f>IFERROR((_xlfn.XLOOKUP(A27,Diretriz!A:A,Diretriz!B:B)),"")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7" s="29" t="s">
        <v>4</v>
      </c>
      <c r="D27" s="30" t="str">
        <f>IFERROR((_xlfn.XLOOKUP(C27,Objetivo!C:C,Objetivo!D:D)), "")</f>
        <v>Fortalecer a Atenção Primária para apoiar o desenvolvimento de ações em saúde no estado.</v>
      </c>
      <c r="E27" s="31" t="s">
        <v>40</v>
      </c>
      <c r="F27" s="32" t="str">
        <f>IFERROR(_xlfn.XLOOKUP(E27,#REF!,#REF!), "")</f>
        <v/>
      </c>
      <c r="G27" s="33" t="s">
        <v>119</v>
      </c>
      <c r="H27" s="30" t="s">
        <v>480</v>
      </c>
      <c r="I27" s="34" t="s">
        <v>489</v>
      </c>
      <c r="J27" s="35" t="s">
        <v>374</v>
      </c>
      <c r="K27" s="35">
        <v>14</v>
      </c>
      <c r="M27" s="6"/>
      <c r="P27" s="19"/>
    </row>
    <row r="28" spans="1:16">
      <c r="A28" s="29">
        <v>1</v>
      </c>
      <c r="B28" s="30" t="str">
        <f>IFERROR((_xlfn.XLOOKUP(A28,Diretriz!A:A,Diretriz!B:B)),"")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8" s="29" t="s">
        <v>4</v>
      </c>
      <c r="D28" s="30" t="str">
        <f>IFERROR((_xlfn.XLOOKUP(C28,Objetivo!C:C,Objetivo!D:D)), "")</f>
        <v>Fortalecer a Atenção Primária para apoiar o desenvolvimento de ações em saúde no estado.</v>
      </c>
      <c r="E28" s="31" t="s">
        <v>40</v>
      </c>
      <c r="F28" s="32" t="str">
        <f>IFERROR(_xlfn.XLOOKUP(E28,#REF!,#REF!), "")</f>
        <v/>
      </c>
      <c r="G28" s="33" t="s">
        <v>120</v>
      </c>
      <c r="H28" s="30" t="s">
        <v>481</v>
      </c>
      <c r="I28" s="34" t="s">
        <v>490</v>
      </c>
      <c r="J28" s="35" t="s">
        <v>374</v>
      </c>
      <c r="K28" s="35">
        <v>6</v>
      </c>
      <c r="M28" s="6"/>
      <c r="P28" s="19"/>
    </row>
    <row r="29" spans="1:16">
      <c r="A29" s="29">
        <v>1</v>
      </c>
      <c r="B29" s="30" t="str">
        <f>IFERROR((_xlfn.XLOOKUP(A29,Diretriz!A:A,Diretriz!B:B)),"")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29" s="29" t="s">
        <v>4</v>
      </c>
      <c r="D29" s="30" t="str">
        <f>IFERROR((_xlfn.XLOOKUP(C29,Objetivo!C:C,Objetivo!D:D)), "")</f>
        <v>Fortalecer a Atenção Primária para apoiar o desenvolvimento de ações em saúde no estado.</v>
      </c>
      <c r="E29" s="31" t="s">
        <v>40</v>
      </c>
      <c r="F29" s="32" t="str">
        <f>IFERROR(_xlfn.XLOOKUP(E29,#REF!,#REF!), "")</f>
        <v/>
      </c>
      <c r="G29" s="33" t="s">
        <v>121</v>
      </c>
      <c r="H29" s="30" t="s">
        <v>482</v>
      </c>
      <c r="I29" s="34" t="s">
        <v>491</v>
      </c>
      <c r="J29" s="35" t="s">
        <v>374</v>
      </c>
      <c r="K29" s="35">
        <v>3</v>
      </c>
      <c r="M29" s="6"/>
      <c r="P29" s="19"/>
    </row>
    <row r="30" spans="1:16">
      <c r="A30" s="29">
        <v>1</v>
      </c>
      <c r="B30" s="30" t="str">
        <f>IFERROR((_xlfn.XLOOKUP(A30,Diretriz!A:A,Diretriz!B:B)),"")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0" s="29" t="s">
        <v>4</v>
      </c>
      <c r="D30" s="30" t="str">
        <f>IFERROR((_xlfn.XLOOKUP(C30,Objetivo!C:C,Objetivo!D:D)), "")</f>
        <v>Fortalecer a Atenção Primária para apoiar o desenvolvimento de ações em saúde no estado.</v>
      </c>
      <c r="E30" s="31" t="s">
        <v>40</v>
      </c>
      <c r="F30" s="32" t="str">
        <f>IFERROR(_xlfn.XLOOKUP(E30,#REF!,#REF!), "")</f>
        <v/>
      </c>
      <c r="G30" s="33" t="s">
        <v>122</v>
      </c>
      <c r="H30" s="30" t="s">
        <v>483</v>
      </c>
      <c r="I30" s="34" t="s">
        <v>492</v>
      </c>
      <c r="J30" s="35" t="s">
        <v>374</v>
      </c>
      <c r="K30" s="35">
        <v>3</v>
      </c>
      <c r="M30" s="6"/>
      <c r="P30" s="19"/>
    </row>
    <row r="31" spans="1:16">
      <c r="A31" s="29">
        <v>1</v>
      </c>
      <c r="B31" s="30" t="str">
        <f>IFERROR((_xlfn.XLOOKUP(A31,Diretriz!A:A,Diretriz!B:B)),"")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1" s="29" t="s">
        <v>4</v>
      </c>
      <c r="D31" s="30" t="str">
        <f>IFERROR((_xlfn.XLOOKUP(C31,Objetivo!C:C,Objetivo!D:D)), "")</f>
        <v>Fortalecer a Atenção Primária para apoiar o desenvolvimento de ações em saúde no estado.</v>
      </c>
      <c r="E31" s="31" t="s">
        <v>40</v>
      </c>
      <c r="F31" s="32" t="str">
        <f>IFERROR(_xlfn.XLOOKUP(E31,#REF!,#REF!), "")</f>
        <v/>
      </c>
      <c r="G31" s="33" t="s">
        <v>123</v>
      </c>
      <c r="H31" s="30" t="s">
        <v>484</v>
      </c>
      <c r="I31" s="34" t="s">
        <v>457</v>
      </c>
      <c r="J31" s="35" t="s">
        <v>374</v>
      </c>
      <c r="K31" s="35">
        <v>2</v>
      </c>
      <c r="M31" s="6"/>
      <c r="P31" s="19"/>
    </row>
    <row r="32" spans="1:16">
      <c r="A32" s="29">
        <v>1</v>
      </c>
      <c r="B32" s="30" t="str">
        <f>IFERROR((_xlfn.XLOOKUP(A32,Diretriz!A:A,Diretriz!B:B)),"")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2" s="29" t="s">
        <v>4</v>
      </c>
      <c r="D32" s="30" t="str">
        <f>IFERROR((_xlfn.XLOOKUP(C32,Objetivo!C:C,Objetivo!D:D)), "")</f>
        <v>Fortalecer a Atenção Primária para apoiar o desenvolvimento de ações em saúde no estado.</v>
      </c>
      <c r="E32" s="31" t="s">
        <v>41</v>
      </c>
      <c r="F32" s="32" t="str">
        <f>IFERROR(_xlfn.XLOOKUP(E32,#REF!,#REF!), "")</f>
        <v/>
      </c>
      <c r="G32" s="33" t="s">
        <v>124</v>
      </c>
      <c r="H32" s="30" t="s">
        <v>485</v>
      </c>
      <c r="I32" s="34" t="s">
        <v>493</v>
      </c>
      <c r="J32" s="35" t="s">
        <v>374</v>
      </c>
      <c r="K32" s="35">
        <v>1</v>
      </c>
      <c r="M32" s="6"/>
      <c r="P32" s="19"/>
    </row>
    <row r="33" spans="1:16">
      <c r="A33" s="29">
        <v>1</v>
      </c>
      <c r="B33" s="30" t="str">
        <f>IFERROR((_xlfn.XLOOKUP(A33,Diretriz!A:A,Diretriz!B:B)),"")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3" s="29" t="s">
        <v>4</v>
      </c>
      <c r="D33" s="30" t="str">
        <f>IFERROR((_xlfn.XLOOKUP(C33,Objetivo!C:C,Objetivo!D:D)), "")</f>
        <v>Fortalecer a Atenção Primária para apoiar o desenvolvimento de ações em saúde no estado.</v>
      </c>
      <c r="E33" s="31" t="s">
        <v>41</v>
      </c>
      <c r="F33" s="32" t="str">
        <f>IFERROR(_xlfn.XLOOKUP(E33,#REF!,#REF!), "")</f>
        <v/>
      </c>
      <c r="G33" s="33" t="s">
        <v>125</v>
      </c>
      <c r="H33" s="30" t="s">
        <v>486</v>
      </c>
      <c r="I33" s="34" t="s">
        <v>455</v>
      </c>
      <c r="J33" s="35" t="s">
        <v>374</v>
      </c>
      <c r="K33" s="35">
        <v>4</v>
      </c>
      <c r="M33" s="6"/>
      <c r="P33" s="19"/>
    </row>
    <row r="34" spans="1:16">
      <c r="A34" s="29">
        <v>1</v>
      </c>
      <c r="B34" s="30" t="str">
        <f>IFERROR((_xlfn.XLOOKUP(A34,Diretriz!A:A,Diretriz!B:B)),"")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4" s="29" t="s">
        <v>4</v>
      </c>
      <c r="D34" s="30" t="str">
        <f>IFERROR((_xlfn.XLOOKUP(C34,Objetivo!C:C,Objetivo!D:D)), "")</f>
        <v>Fortalecer a Atenção Primária para apoiar o desenvolvimento de ações em saúde no estado.</v>
      </c>
      <c r="E34" s="31" t="s">
        <v>41</v>
      </c>
      <c r="F34" s="32" t="str">
        <f>IFERROR(_xlfn.XLOOKUP(E34,#REF!,#REF!), "")</f>
        <v/>
      </c>
      <c r="G34" s="33" t="s">
        <v>126</v>
      </c>
      <c r="H34" s="30" t="s">
        <v>487</v>
      </c>
      <c r="I34" s="34" t="s">
        <v>494</v>
      </c>
      <c r="J34" s="35" t="s">
        <v>374</v>
      </c>
      <c r="K34" s="35">
        <v>1</v>
      </c>
      <c r="M34" s="6"/>
      <c r="P34" s="19"/>
    </row>
    <row r="35" spans="1:16">
      <c r="A35" s="29">
        <v>1</v>
      </c>
      <c r="B35" s="30" t="str">
        <f>IFERROR((_xlfn.XLOOKUP(A35,Diretriz!A:A,Diretriz!B:B)),"")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5" s="29" t="s">
        <v>4</v>
      </c>
      <c r="D35" s="30" t="str">
        <f>IFERROR((_xlfn.XLOOKUP(C35,Objetivo!C:C,Objetivo!D:D)), "")</f>
        <v>Fortalecer a Atenção Primária para apoiar o desenvolvimento de ações em saúde no estado.</v>
      </c>
      <c r="E35" s="31" t="s">
        <v>41</v>
      </c>
      <c r="F35" s="32" t="str">
        <f>IFERROR(_xlfn.XLOOKUP(E35,#REF!,#REF!), "")</f>
        <v/>
      </c>
      <c r="G35" s="33" t="s">
        <v>127</v>
      </c>
      <c r="H35" s="30" t="s">
        <v>488</v>
      </c>
      <c r="I35" s="34" t="s">
        <v>495</v>
      </c>
      <c r="J35" s="35" t="s">
        <v>374</v>
      </c>
      <c r="K35" s="35">
        <v>5</v>
      </c>
      <c r="M35" s="6"/>
      <c r="P35" s="19"/>
    </row>
    <row r="36" spans="1:16">
      <c r="A36" s="29">
        <v>1</v>
      </c>
      <c r="B36" s="30" t="str">
        <f>IFERROR((_xlfn.XLOOKUP(A36,Diretriz!A:A,Diretriz!B:B)),"")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6" s="29" t="s">
        <v>4</v>
      </c>
      <c r="D36" s="30" t="str">
        <f>IFERROR((_xlfn.XLOOKUP(C36,Objetivo!C:C,Objetivo!D:D)), "")</f>
        <v>Fortalecer a Atenção Primária para apoiar o desenvolvimento de ações em saúde no estado.</v>
      </c>
      <c r="E36" s="31" t="s">
        <v>42</v>
      </c>
      <c r="F36" s="32" t="str">
        <f>IFERROR(_xlfn.XLOOKUP(E36,#REF!,#REF!), "")</f>
        <v/>
      </c>
      <c r="G36" s="33" t="s">
        <v>129</v>
      </c>
      <c r="H36" s="30" t="s">
        <v>496</v>
      </c>
      <c r="I36" s="34" t="s">
        <v>455</v>
      </c>
      <c r="J36" s="35" t="s">
        <v>374</v>
      </c>
      <c r="K36" s="35">
        <v>4</v>
      </c>
      <c r="M36" s="6"/>
      <c r="P36" s="19"/>
    </row>
    <row r="37" spans="1:16">
      <c r="A37" s="29">
        <v>1</v>
      </c>
      <c r="B37" s="30" t="str">
        <f>IFERROR((_xlfn.XLOOKUP(A37,Diretriz!A:A,Diretriz!B:B)),"")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7" s="29" t="s">
        <v>4</v>
      </c>
      <c r="D37" s="30" t="str">
        <f>IFERROR((_xlfn.XLOOKUP(C37,Objetivo!C:C,Objetivo!D:D)), "")</f>
        <v>Fortalecer a Atenção Primária para apoiar o desenvolvimento de ações em saúde no estado.</v>
      </c>
      <c r="E37" s="31" t="s">
        <v>42</v>
      </c>
      <c r="F37" s="32" t="str">
        <f>IFERROR(_xlfn.XLOOKUP(E37,#REF!,#REF!), "")</f>
        <v/>
      </c>
      <c r="G37" s="33" t="s">
        <v>130</v>
      </c>
      <c r="H37" s="30" t="s">
        <v>497</v>
      </c>
      <c r="I37" s="34" t="s">
        <v>457</v>
      </c>
      <c r="J37" s="35" t="s">
        <v>374</v>
      </c>
      <c r="K37" s="35">
        <v>4</v>
      </c>
      <c r="M37" s="6"/>
      <c r="P37" s="19"/>
    </row>
    <row r="38" spans="1:16">
      <c r="A38" s="29">
        <v>1</v>
      </c>
      <c r="B38" s="30" t="str">
        <f>IFERROR((_xlfn.XLOOKUP(A38,Diretriz!A:A,Diretriz!B:B)),"")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8" s="29" t="s">
        <v>4</v>
      </c>
      <c r="D38" s="30" t="str">
        <f>IFERROR((_xlfn.XLOOKUP(C38,Objetivo!C:C,Objetivo!D:D)), "")</f>
        <v>Fortalecer a Atenção Primária para apoiar o desenvolvimento de ações em saúde no estado.</v>
      </c>
      <c r="E38" s="31" t="s">
        <v>42</v>
      </c>
      <c r="F38" s="32" t="str">
        <f>IFERROR(_xlfn.XLOOKUP(E38,#REF!,#REF!), "")</f>
        <v/>
      </c>
      <c r="G38" s="33" t="s">
        <v>131</v>
      </c>
      <c r="H38" s="30" t="s">
        <v>498</v>
      </c>
      <c r="I38" s="34" t="s">
        <v>455</v>
      </c>
      <c r="J38" s="35" t="s">
        <v>374</v>
      </c>
      <c r="K38" s="35">
        <v>4</v>
      </c>
      <c r="M38" s="6"/>
      <c r="P38" s="19"/>
    </row>
    <row r="39" spans="1:16">
      <c r="A39" s="29">
        <v>1</v>
      </c>
      <c r="B39" s="30" t="str">
        <f>IFERROR((_xlfn.XLOOKUP(A39,Diretriz!A:A,Diretriz!B:B)),"")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39" s="29" t="s">
        <v>4</v>
      </c>
      <c r="D39" s="30" t="str">
        <f>IFERROR((_xlfn.XLOOKUP(C39,Objetivo!C:C,Objetivo!D:D)), "")</f>
        <v>Fortalecer a Atenção Primária para apoiar o desenvolvimento de ações em saúde no estado.</v>
      </c>
      <c r="E39" s="31" t="s">
        <v>42</v>
      </c>
      <c r="F39" s="32" t="str">
        <f>IFERROR(_xlfn.XLOOKUP(E39,#REF!,#REF!), "")</f>
        <v/>
      </c>
      <c r="G39" s="33" t="s">
        <v>132</v>
      </c>
      <c r="H39" s="30" t="s">
        <v>499</v>
      </c>
      <c r="I39" s="34" t="s">
        <v>455</v>
      </c>
      <c r="J39" s="35" t="s">
        <v>374</v>
      </c>
      <c r="K39" s="35">
        <v>6</v>
      </c>
      <c r="M39" s="6"/>
      <c r="P39" s="19"/>
    </row>
    <row r="40" spans="1:16">
      <c r="A40" s="29">
        <v>1</v>
      </c>
      <c r="B40" s="30" t="str">
        <f>IFERROR((_xlfn.XLOOKUP(A40,Diretriz!A:A,Diretriz!B:B)),"")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0" s="29" t="s">
        <v>4</v>
      </c>
      <c r="D40" s="30" t="str">
        <f>IFERROR((_xlfn.XLOOKUP(C40,Objetivo!C:C,Objetivo!D:D)), "")</f>
        <v>Fortalecer a Atenção Primária para apoiar o desenvolvimento de ações em saúde no estado.</v>
      </c>
      <c r="E40" s="31" t="s">
        <v>42</v>
      </c>
      <c r="F40" s="32" t="str">
        <f>IFERROR(_xlfn.XLOOKUP(E40,#REF!,#REF!), "")</f>
        <v/>
      </c>
      <c r="G40" s="33" t="s">
        <v>128</v>
      </c>
      <c r="H40" s="30" t="s">
        <v>500</v>
      </c>
      <c r="I40" s="34" t="s">
        <v>455</v>
      </c>
      <c r="J40" s="35" t="s">
        <v>374</v>
      </c>
      <c r="K40" s="35">
        <v>5</v>
      </c>
      <c r="M40" s="6"/>
      <c r="P40" s="19"/>
    </row>
    <row r="41" spans="1:16">
      <c r="A41" s="2">
        <v>1</v>
      </c>
      <c r="B41" t="str">
        <f>IFERROR((_xlfn.XLOOKUP(A41,Diretriz!A:A,Diretriz!B:B)),"")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1" s="2" t="s">
        <v>4</v>
      </c>
      <c r="D41" t="str">
        <f>IFERROR((_xlfn.XLOOKUP(C41,Objetivo!C:C,Objetivo!D:D)), "")</f>
        <v>Fortalecer a Atenção Primária para apoiar o desenvolvimento de ações em saúde no estado.</v>
      </c>
      <c r="E41" s="21" t="s">
        <v>43</v>
      </c>
      <c r="F41" s="20" t="str">
        <f>IFERROR(_xlfn.XLOOKUP(E41,#REF!,#REF!), "")</f>
        <v/>
      </c>
      <c r="G41" s="22" t="s">
        <v>133</v>
      </c>
      <c r="H41" t="s">
        <v>501</v>
      </c>
      <c r="I41" s="24" t="s">
        <v>508</v>
      </c>
      <c r="J41" s="6" t="s">
        <v>374</v>
      </c>
      <c r="K41" s="6">
        <v>19</v>
      </c>
      <c r="M41" s="6"/>
      <c r="P41" s="19"/>
    </row>
    <row r="42" spans="1:16">
      <c r="A42" s="2">
        <v>1</v>
      </c>
      <c r="B42" t="str">
        <f>IFERROR((_xlfn.XLOOKUP(A42,Diretriz!A:A,Diretriz!B:B)),"")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2" s="2" t="s">
        <v>4</v>
      </c>
      <c r="D42" t="str">
        <f>IFERROR((_xlfn.XLOOKUP(C42,Objetivo!C:C,Objetivo!D:D)), "")</f>
        <v>Fortalecer a Atenção Primária para apoiar o desenvolvimento de ações em saúde no estado.</v>
      </c>
      <c r="E42" s="21" t="s">
        <v>43</v>
      </c>
      <c r="F42" s="20" t="str">
        <f>IFERROR(_xlfn.XLOOKUP(E42,#REF!,#REF!), "")</f>
        <v/>
      </c>
      <c r="G42" s="22" t="s">
        <v>134</v>
      </c>
      <c r="H42" t="s">
        <v>502</v>
      </c>
      <c r="I42" s="24" t="s">
        <v>457</v>
      </c>
      <c r="J42" s="6" t="s">
        <v>374</v>
      </c>
      <c r="K42" s="6">
        <v>3</v>
      </c>
      <c r="M42" s="6"/>
      <c r="P42" s="19"/>
    </row>
    <row r="43" spans="1:16">
      <c r="A43" s="2">
        <v>1</v>
      </c>
      <c r="B43" t="str">
        <f>IFERROR((_xlfn.XLOOKUP(A43,Diretriz!A:A,Diretriz!B:B)),"")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3" s="2" t="s">
        <v>4</v>
      </c>
      <c r="D43" t="str">
        <f>IFERROR((_xlfn.XLOOKUP(C43,Objetivo!C:C,Objetivo!D:D)), "")</f>
        <v>Fortalecer a Atenção Primária para apoiar o desenvolvimento de ações em saúde no estado.</v>
      </c>
      <c r="E43" s="21" t="s">
        <v>43</v>
      </c>
      <c r="F43" s="20" t="str">
        <f>IFERROR(_xlfn.XLOOKUP(E43,#REF!,#REF!), "")</f>
        <v/>
      </c>
      <c r="G43" s="22" t="s">
        <v>135</v>
      </c>
      <c r="H43" t="s">
        <v>503</v>
      </c>
      <c r="I43" s="24" t="s">
        <v>509</v>
      </c>
      <c r="J43" s="6" t="s">
        <v>374</v>
      </c>
      <c r="K43" s="6">
        <v>4</v>
      </c>
      <c r="M43" s="6"/>
      <c r="P43" s="19"/>
    </row>
    <row r="44" spans="1:16">
      <c r="A44" s="2">
        <v>1</v>
      </c>
      <c r="B44" t="str">
        <f>IFERROR((_xlfn.XLOOKUP(A44,Diretriz!A:A,Diretriz!B:B)),"")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4" s="2" t="s">
        <v>4</v>
      </c>
      <c r="D44" t="str">
        <f>IFERROR((_xlfn.XLOOKUP(C44,Objetivo!C:C,Objetivo!D:D)), "")</f>
        <v>Fortalecer a Atenção Primária para apoiar o desenvolvimento de ações em saúde no estado.</v>
      </c>
      <c r="E44" s="21" t="s">
        <v>43</v>
      </c>
      <c r="F44" s="20" t="str">
        <f>IFERROR(_xlfn.XLOOKUP(E44,#REF!,#REF!), "")</f>
        <v/>
      </c>
      <c r="G44" s="22" t="s">
        <v>136</v>
      </c>
      <c r="H44" t="s">
        <v>504</v>
      </c>
      <c r="I44" s="24" t="s">
        <v>306</v>
      </c>
      <c r="J44" s="6" t="s">
        <v>374</v>
      </c>
      <c r="K44" s="6">
        <v>1</v>
      </c>
      <c r="M44" s="6"/>
      <c r="P44" s="19"/>
    </row>
    <row r="45" spans="1:16">
      <c r="A45" s="2">
        <v>1</v>
      </c>
      <c r="B45" t="str">
        <f>IFERROR((_xlfn.XLOOKUP(A45,Diretriz!A:A,Diretriz!B:B)),"")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5" s="2" t="s">
        <v>4</v>
      </c>
      <c r="D45" t="str">
        <f>IFERROR((_xlfn.XLOOKUP(C45,Objetivo!C:C,Objetivo!D:D)), "")</f>
        <v>Fortalecer a Atenção Primária para apoiar o desenvolvimento de ações em saúde no estado.</v>
      </c>
      <c r="E45" s="21" t="s">
        <v>43</v>
      </c>
      <c r="F45" s="20" t="str">
        <f>IFERROR(_xlfn.XLOOKUP(E45,#REF!,#REF!), "")</f>
        <v/>
      </c>
      <c r="G45" s="22" t="s">
        <v>137</v>
      </c>
      <c r="H45" t="s">
        <v>505</v>
      </c>
      <c r="I45" s="24" t="s">
        <v>510</v>
      </c>
      <c r="J45" s="6" t="s">
        <v>374</v>
      </c>
      <c r="K45" s="6">
        <v>60</v>
      </c>
      <c r="M45" s="6"/>
      <c r="P45" s="19"/>
    </row>
    <row r="46" spans="1:16">
      <c r="A46" s="2">
        <v>1</v>
      </c>
      <c r="B46" t="str">
        <f>IFERROR((_xlfn.XLOOKUP(A46,Diretriz!A:A,Diretriz!B:B)),"")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6" s="2" t="s">
        <v>4</v>
      </c>
      <c r="D46" t="str">
        <f>IFERROR((_xlfn.XLOOKUP(C46,Objetivo!C:C,Objetivo!D:D)), "")</f>
        <v>Fortalecer a Atenção Primária para apoiar o desenvolvimento de ações em saúde no estado.</v>
      </c>
      <c r="E46" s="21" t="s">
        <v>43</v>
      </c>
      <c r="F46" s="20" t="str">
        <f>IFERROR(_xlfn.XLOOKUP(E46,#REF!,#REF!), "")</f>
        <v/>
      </c>
      <c r="G46" s="22" t="s">
        <v>507</v>
      </c>
      <c r="H46" t="s">
        <v>506</v>
      </c>
      <c r="I46" s="24" t="s">
        <v>511</v>
      </c>
      <c r="J46" s="6" t="s">
        <v>374</v>
      </c>
      <c r="K46" s="6">
        <v>60</v>
      </c>
      <c r="M46" s="6"/>
      <c r="P46" s="19"/>
    </row>
    <row r="47" spans="1:16">
      <c r="A47" s="2">
        <v>1</v>
      </c>
      <c r="B47" t="str">
        <f>IFERROR((_xlfn.XLOOKUP(A47,Diretriz!A:A,Diretriz!B:B)),"")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7" s="2" t="s">
        <v>4</v>
      </c>
      <c r="D47" t="str">
        <f>IFERROR((_xlfn.XLOOKUP(C47,Objetivo!C:C,Objetivo!D:D)), "")</f>
        <v>Fortalecer a Atenção Primária para apoiar o desenvolvimento de ações em saúde no estado.</v>
      </c>
      <c r="E47" s="21" t="s">
        <v>44</v>
      </c>
      <c r="F47" s="20" t="str">
        <f>IFERROR(_xlfn.XLOOKUP(E47,#REF!,#REF!), "")</f>
        <v/>
      </c>
      <c r="G47" s="22" t="s">
        <v>138</v>
      </c>
      <c r="H47" t="s">
        <v>512</v>
      </c>
      <c r="I47" s="24" t="s">
        <v>457</v>
      </c>
      <c r="J47" s="6" t="s">
        <v>374</v>
      </c>
      <c r="K47" s="6">
        <v>3</v>
      </c>
      <c r="M47" s="6"/>
      <c r="P47" s="19"/>
    </row>
    <row r="48" spans="1:16">
      <c r="A48" s="2">
        <v>1</v>
      </c>
      <c r="B48" t="str">
        <f>IFERROR((_xlfn.XLOOKUP(A48,Diretriz!A:A,Diretriz!B:B)),"")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8" s="2" t="s">
        <v>4</v>
      </c>
      <c r="D48" t="str">
        <f>IFERROR((_xlfn.XLOOKUP(C48,Objetivo!C:C,Objetivo!D:D)), "")</f>
        <v>Fortalecer a Atenção Primária para apoiar o desenvolvimento de ações em saúde no estado.</v>
      </c>
      <c r="E48" s="21" t="s">
        <v>44</v>
      </c>
      <c r="F48" s="20" t="str">
        <f>IFERROR(_xlfn.XLOOKUP(E48,#REF!,#REF!), "")</f>
        <v/>
      </c>
      <c r="G48" s="22" t="s">
        <v>139</v>
      </c>
      <c r="H48" t="s">
        <v>513</v>
      </c>
      <c r="I48" s="24" t="s">
        <v>457</v>
      </c>
      <c r="J48" s="6" t="s">
        <v>374</v>
      </c>
      <c r="K48" s="6">
        <v>3</v>
      </c>
      <c r="M48" s="6"/>
      <c r="P48" s="19"/>
    </row>
    <row r="49" spans="1:16">
      <c r="A49" s="2">
        <v>1</v>
      </c>
      <c r="B49" t="str">
        <f>IFERROR((_xlfn.XLOOKUP(A49,Diretriz!A:A,Diretriz!B:B)),"")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49" s="2" t="s">
        <v>4</v>
      </c>
      <c r="D49" t="str">
        <f>IFERROR((_xlfn.XLOOKUP(C49,Objetivo!C:C,Objetivo!D:D)), "")</f>
        <v>Fortalecer a Atenção Primária para apoiar o desenvolvimento de ações em saúde no estado.</v>
      </c>
      <c r="E49" s="21" t="s">
        <v>44</v>
      </c>
      <c r="F49" s="20" t="str">
        <f>IFERROR(_xlfn.XLOOKUP(E49,#REF!,#REF!), "")</f>
        <v/>
      </c>
      <c r="G49" s="22" t="s">
        <v>140</v>
      </c>
      <c r="H49" t="s">
        <v>514</v>
      </c>
      <c r="I49" s="24" t="s">
        <v>457</v>
      </c>
      <c r="J49" s="6" t="s">
        <v>374</v>
      </c>
      <c r="K49" s="6">
        <v>2</v>
      </c>
      <c r="M49" s="6"/>
      <c r="P49" s="19"/>
    </row>
    <row r="50" spans="1:16">
      <c r="A50" s="2">
        <v>1</v>
      </c>
      <c r="B50" t="str">
        <f>IFERROR((_xlfn.XLOOKUP(A50,Diretriz!A:A,Diretriz!B:B)),"")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0" s="2" t="s">
        <v>4</v>
      </c>
      <c r="D50" t="str">
        <f>IFERROR((_xlfn.XLOOKUP(C50,Objetivo!C:C,Objetivo!D:D)), "")</f>
        <v>Fortalecer a Atenção Primária para apoiar o desenvolvimento de ações em saúde no estado.</v>
      </c>
      <c r="E50" s="21" t="s">
        <v>44</v>
      </c>
      <c r="F50" s="20" t="str">
        <f>IFERROR(_xlfn.XLOOKUP(E50,#REF!,#REF!), "")</f>
        <v/>
      </c>
      <c r="G50" s="22" t="s">
        <v>518</v>
      </c>
      <c r="H50" t="s">
        <v>515</v>
      </c>
      <c r="I50" s="24" t="s">
        <v>306</v>
      </c>
      <c r="J50" s="6" t="s">
        <v>374</v>
      </c>
      <c r="K50" s="6">
        <v>1</v>
      </c>
      <c r="M50" s="6"/>
      <c r="P50" s="19"/>
    </row>
    <row r="51" spans="1:16">
      <c r="A51" s="2">
        <v>1</v>
      </c>
      <c r="B51" t="str">
        <f>IFERROR((_xlfn.XLOOKUP(A51,Diretriz!A:A,Diretriz!B:B)),"")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1" s="2" t="s">
        <v>4</v>
      </c>
      <c r="D51" t="str">
        <f>IFERROR((_xlfn.XLOOKUP(C51,Objetivo!C:C,Objetivo!D:D)), "")</f>
        <v>Fortalecer a Atenção Primária para apoiar o desenvolvimento de ações em saúde no estado.</v>
      </c>
      <c r="E51" s="21" t="s">
        <v>44</v>
      </c>
      <c r="F51" s="20" t="str">
        <f>IFERROR(_xlfn.XLOOKUP(E51,#REF!,#REF!), "")</f>
        <v/>
      </c>
      <c r="G51" s="22" t="s">
        <v>519</v>
      </c>
      <c r="H51" t="s">
        <v>516</v>
      </c>
      <c r="I51" s="24" t="s">
        <v>306</v>
      </c>
      <c r="J51" s="6" t="s">
        <v>374</v>
      </c>
      <c r="K51" s="6">
        <v>1</v>
      </c>
      <c r="M51" s="6"/>
      <c r="P51" s="19"/>
    </row>
    <row r="52" spans="1:16">
      <c r="A52" s="2">
        <v>1</v>
      </c>
      <c r="B52" t="str">
        <f>IFERROR((_xlfn.XLOOKUP(A52,Diretriz!A:A,Diretriz!B:B)),"")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2" s="2" t="s">
        <v>4</v>
      </c>
      <c r="D52" t="str">
        <f>IFERROR((_xlfn.XLOOKUP(C52,Objetivo!C:C,Objetivo!D:D)), "")</f>
        <v>Fortalecer a Atenção Primária para apoiar o desenvolvimento de ações em saúde no estado.</v>
      </c>
      <c r="E52" s="21" t="s">
        <v>44</v>
      </c>
      <c r="F52" s="20" t="str">
        <f>IFERROR(_xlfn.XLOOKUP(E52,#REF!,#REF!), "")</f>
        <v/>
      </c>
      <c r="G52" s="22" t="s">
        <v>520</v>
      </c>
      <c r="H52" t="s">
        <v>517</v>
      </c>
      <c r="I52" s="24" t="s">
        <v>511</v>
      </c>
      <c r="J52" s="6" t="s">
        <v>374</v>
      </c>
      <c r="K52" s="6">
        <v>30</v>
      </c>
      <c r="M52" s="6"/>
      <c r="P52" s="19"/>
    </row>
    <row r="53" spans="1:16">
      <c r="A53" s="2">
        <v>1</v>
      </c>
      <c r="B53" t="str">
        <f>IFERROR((_xlfn.XLOOKUP(A53,Diretriz!A:A,Diretriz!B:B)),"")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3" s="2" t="s">
        <v>4</v>
      </c>
      <c r="D53" t="str">
        <f>IFERROR((_xlfn.XLOOKUP(C53,Objetivo!C:C,Objetivo!D:D)), "")</f>
        <v>Fortalecer a Atenção Primária para apoiar o desenvolvimento de ações em saúde no estado.</v>
      </c>
      <c r="E53" s="21" t="s">
        <v>45</v>
      </c>
      <c r="F53" s="20" t="str">
        <f>IFERROR(_xlfn.XLOOKUP(E53,#REF!,#REF!), "")</f>
        <v/>
      </c>
      <c r="G53" s="22" t="s">
        <v>141</v>
      </c>
      <c r="H53" t="s">
        <v>521</v>
      </c>
      <c r="I53" s="24" t="s">
        <v>525</v>
      </c>
      <c r="J53" s="6" t="s">
        <v>374</v>
      </c>
      <c r="K53" s="6">
        <v>5</v>
      </c>
      <c r="M53" s="6"/>
      <c r="P53" s="19"/>
    </row>
    <row r="54" spans="1:16">
      <c r="A54" s="2">
        <v>1</v>
      </c>
      <c r="B54" t="str">
        <f>IFERROR((_xlfn.XLOOKUP(A54,Diretriz!A:A,Diretriz!B:B)),"")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4" s="2" t="s">
        <v>4</v>
      </c>
      <c r="D54" t="str">
        <f>IFERROR((_xlfn.XLOOKUP(C54,Objetivo!C:C,Objetivo!D:D)), "")</f>
        <v>Fortalecer a Atenção Primária para apoiar o desenvolvimento de ações em saúde no estado.</v>
      </c>
      <c r="E54" s="21" t="s">
        <v>45</v>
      </c>
      <c r="F54" s="20" t="str">
        <f>IFERROR(_xlfn.XLOOKUP(E54,#REF!,#REF!), "")</f>
        <v/>
      </c>
      <c r="G54" s="22" t="s">
        <v>142</v>
      </c>
      <c r="H54" t="s">
        <v>522</v>
      </c>
      <c r="I54" s="24" t="s">
        <v>489</v>
      </c>
      <c r="J54" s="6" t="s">
        <v>374</v>
      </c>
      <c r="K54" s="6">
        <v>130</v>
      </c>
      <c r="M54" s="6"/>
      <c r="P54" s="19"/>
    </row>
    <row r="55" spans="1:16">
      <c r="A55" s="2">
        <v>1</v>
      </c>
      <c r="B55" t="str">
        <f>IFERROR((_xlfn.XLOOKUP(A55,Diretriz!A:A,Diretriz!B:B)),"")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5" s="2" t="s">
        <v>4</v>
      </c>
      <c r="D55" t="str">
        <f>IFERROR((_xlfn.XLOOKUP(C55,Objetivo!C:C,Objetivo!D:D)), "")</f>
        <v>Fortalecer a Atenção Primária para apoiar o desenvolvimento de ações em saúde no estado.</v>
      </c>
      <c r="E55" s="21" t="s">
        <v>45</v>
      </c>
      <c r="F55" s="20" t="str">
        <f>IFERROR(_xlfn.XLOOKUP(E55,#REF!,#REF!), "")</f>
        <v/>
      </c>
      <c r="G55" s="22" t="s">
        <v>143</v>
      </c>
      <c r="H55" t="s">
        <v>523</v>
      </c>
      <c r="I55" s="24" t="s">
        <v>526</v>
      </c>
      <c r="J55" s="6" t="s">
        <v>374</v>
      </c>
      <c r="K55" s="6">
        <v>25</v>
      </c>
      <c r="N55" s="2"/>
      <c r="P55" s="19"/>
    </row>
    <row r="56" spans="1:16">
      <c r="A56" s="2">
        <v>1</v>
      </c>
      <c r="B56" t="str">
        <f>IFERROR((_xlfn.XLOOKUP(A56,Diretriz!A:A,Diretriz!B:B)),"")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6" s="2" t="s">
        <v>4</v>
      </c>
      <c r="D56" t="str">
        <f>IFERROR((_xlfn.XLOOKUP(C56,Objetivo!C:C,Objetivo!D:D)), "")</f>
        <v>Fortalecer a Atenção Primária para apoiar o desenvolvimento de ações em saúde no estado.</v>
      </c>
      <c r="E56" s="21" t="s">
        <v>45</v>
      </c>
      <c r="F56" s="20" t="str">
        <f>IFERROR(_xlfn.XLOOKUP(E56,#REF!,#REF!), "")</f>
        <v/>
      </c>
      <c r="G56" s="22" t="s">
        <v>144</v>
      </c>
      <c r="H56" t="s">
        <v>524</v>
      </c>
      <c r="I56" s="24" t="s">
        <v>527</v>
      </c>
      <c r="J56" s="6" t="s">
        <v>374</v>
      </c>
      <c r="K56" s="6">
        <v>150</v>
      </c>
      <c r="P56" s="19"/>
    </row>
    <row r="57" spans="1:16">
      <c r="A57" s="2">
        <v>1</v>
      </c>
      <c r="B57" t="str">
        <f>IFERROR((_xlfn.XLOOKUP(A57,Diretriz!A:A,Diretriz!B:B)),"")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7" s="2" t="s">
        <v>4</v>
      </c>
      <c r="D57" t="str">
        <f>IFERROR((_xlfn.XLOOKUP(C57,Objetivo!C:C,Objetivo!D:D)), "")</f>
        <v>Fortalecer a Atenção Primária para apoiar o desenvolvimento de ações em saúde no estado.</v>
      </c>
      <c r="E57" s="21" t="s">
        <v>46</v>
      </c>
      <c r="F57" s="20" t="str">
        <f>IFERROR(_xlfn.XLOOKUP(E57,#REF!,#REF!), "")</f>
        <v/>
      </c>
      <c r="G57" s="22" t="s">
        <v>145</v>
      </c>
      <c r="H57" t="s">
        <v>528</v>
      </c>
      <c r="I57" s="24" t="s">
        <v>490</v>
      </c>
      <c r="J57" s="6" t="s">
        <v>374</v>
      </c>
      <c r="K57" s="6">
        <v>10</v>
      </c>
      <c r="P57" s="19"/>
    </row>
    <row r="58" spans="1:16">
      <c r="A58" s="2">
        <v>1</v>
      </c>
      <c r="B58" t="str">
        <f>IFERROR((_xlfn.XLOOKUP(A58,Diretriz!A:A,Diretriz!B:B)),"")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8" s="2" t="s">
        <v>4</v>
      </c>
      <c r="D58" t="str">
        <f>IFERROR((_xlfn.XLOOKUP(C58,Objetivo!C:C,Objetivo!D:D)), "")</f>
        <v>Fortalecer a Atenção Primária para apoiar o desenvolvimento de ações em saúde no estado.</v>
      </c>
      <c r="E58" s="21" t="s">
        <v>46</v>
      </c>
      <c r="F58" s="20" t="str">
        <f>IFERROR(_xlfn.XLOOKUP(E58,#REF!,#REF!), "")</f>
        <v/>
      </c>
      <c r="G58" s="22" t="s">
        <v>146</v>
      </c>
      <c r="H58" t="s">
        <v>529</v>
      </c>
      <c r="I58" s="24" t="s">
        <v>530</v>
      </c>
      <c r="J58" s="6" t="s">
        <v>374</v>
      </c>
      <c r="K58" s="6">
        <v>2</v>
      </c>
      <c r="P58" s="19"/>
    </row>
    <row r="59" spans="1:16">
      <c r="A59" s="2">
        <v>1</v>
      </c>
      <c r="B59" t="str">
        <f>IFERROR((_xlfn.XLOOKUP(A59,Diretriz!A:A,Diretriz!B:B)),"")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59" s="2" t="s">
        <v>4</v>
      </c>
      <c r="D59" t="str">
        <f>IFERROR((_xlfn.XLOOKUP(C59,Objetivo!C:C,Objetivo!D:D)), "")</f>
        <v>Fortalecer a Atenção Primária para apoiar o desenvolvimento de ações em saúde no estado.</v>
      </c>
      <c r="E59" s="21" t="s">
        <v>47</v>
      </c>
      <c r="F59" s="20" t="str">
        <f>IFERROR(_xlfn.XLOOKUP(E59,#REF!,#REF!), "")</f>
        <v/>
      </c>
      <c r="G59" s="22" t="s">
        <v>147</v>
      </c>
      <c r="H59" t="s">
        <v>531</v>
      </c>
      <c r="I59" s="24" t="s">
        <v>455</v>
      </c>
      <c r="J59" s="6" t="s">
        <v>374</v>
      </c>
      <c r="K59" s="6">
        <v>3</v>
      </c>
      <c r="P59" s="19"/>
    </row>
    <row r="60" spans="1:16">
      <c r="A60" s="2">
        <v>1</v>
      </c>
      <c r="B60" t="str">
        <f>IFERROR((_xlfn.XLOOKUP(A60,Diretriz!A:A,Diretriz!B:B)),"")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0" s="2" t="s">
        <v>4</v>
      </c>
      <c r="D60" t="str">
        <f>IFERROR((_xlfn.XLOOKUP(C60,Objetivo!C:C,Objetivo!D:D)), "")</f>
        <v>Fortalecer a Atenção Primária para apoiar o desenvolvimento de ações em saúde no estado.</v>
      </c>
      <c r="E60" s="21" t="s">
        <v>47</v>
      </c>
      <c r="F60" s="20" t="str">
        <f>IFERROR(_xlfn.XLOOKUP(E60,#REF!,#REF!), "")</f>
        <v/>
      </c>
      <c r="G60" s="22" t="s">
        <v>148</v>
      </c>
      <c r="H60" t="s">
        <v>111</v>
      </c>
      <c r="I60" s="24" t="s">
        <v>306</v>
      </c>
      <c r="J60" s="6" t="s">
        <v>374</v>
      </c>
      <c r="K60" s="6">
        <v>1</v>
      </c>
      <c r="P60" s="19"/>
    </row>
    <row r="61" spans="1:16">
      <c r="A61" s="2">
        <v>1</v>
      </c>
      <c r="B61" t="str">
        <f>IFERROR((_xlfn.XLOOKUP(A61,Diretriz!A:A,Diretriz!B:B)),"")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1" s="2" t="s">
        <v>4</v>
      </c>
      <c r="D61" t="str">
        <f>IFERROR((_xlfn.XLOOKUP(C61,Objetivo!C:C,Objetivo!D:D)), "")</f>
        <v>Fortalecer a Atenção Primária para apoiar o desenvolvimento de ações em saúde no estado.</v>
      </c>
      <c r="E61" s="21" t="s">
        <v>48</v>
      </c>
      <c r="F61" s="20" t="str">
        <f>IFERROR(_xlfn.XLOOKUP(E61,#REF!,#REF!), "")</f>
        <v/>
      </c>
      <c r="G61" s="22" t="s">
        <v>91</v>
      </c>
      <c r="H61" t="s">
        <v>532</v>
      </c>
      <c r="I61" s="24" t="s">
        <v>455</v>
      </c>
      <c r="J61" s="6" t="s">
        <v>374</v>
      </c>
      <c r="K61" s="6">
        <v>74</v>
      </c>
      <c r="P61" s="19"/>
    </row>
    <row r="62" spans="1:16">
      <c r="A62" s="2">
        <v>1</v>
      </c>
      <c r="B62" t="str">
        <f>IFERROR((_xlfn.XLOOKUP(A62,Diretriz!A:A,Diretriz!B:B)),"")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2" s="2" t="s">
        <v>4</v>
      </c>
      <c r="D62" t="str">
        <f>IFERROR((_xlfn.XLOOKUP(C62,Objetivo!C:C,Objetivo!D:D)), "")</f>
        <v>Fortalecer a Atenção Primária para apoiar o desenvolvimento de ações em saúde no estado.</v>
      </c>
      <c r="E62" s="21" t="s">
        <v>48</v>
      </c>
      <c r="F62" s="20" t="str">
        <f>IFERROR(_xlfn.XLOOKUP(E62,#REF!,#REF!), "")</f>
        <v/>
      </c>
      <c r="G62" s="22" t="s">
        <v>93</v>
      </c>
      <c r="H62" t="s">
        <v>533</v>
      </c>
      <c r="I62" s="23" t="s">
        <v>455</v>
      </c>
      <c r="J62" s="6" t="s">
        <v>374</v>
      </c>
      <c r="K62" s="2">
        <v>250</v>
      </c>
      <c r="N62" s="2"/>
      <c r="P62" s="19"/>
    </row>
    <row r="63" spans="1:16">
      <c r="A63" s="2">
        <v>1</v>
      </c>
      <c r="B63" t="str">
        <f>IFERROR((_xlfn.XLOOKUP(A63,Diretriz!A:A,Diretriz!B:B)),"")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3" s="2" t="s">
        <v>4</v>
      </c>
      <c r="D63" t="str">
        <f>IFERROR((_xlfn.XLOOKUP(C63,Objetivo!C:C,Objetivo!D:D)), "")</f>
        <v>Fortalecer a Atenção Primária para apoiar o desenvolvimento de ações em saúde no estado.</v>
      </c>
      <c r="E63" s="21" t="s">
        <v>48</v>
      </c>
      <c r="F63" s="20" t="str">
        <f>IFERROR(_xlfn.XLOOKUP(E63,#REF!,#REF!), "")</f>
        <v/>
      </c>
      <c r="G63" s="22" t="s">
        <v>94</v>
      </c>
      <c r="H63" t="s">
        <v>534</v>
      </c>
      <c r="I63" s="23" t="s">
        <v>455</v>
      </c>
      <c r="J63" s="6" t="s">
        <v>374</v>
      </c>
      <c r="K63" s="2">
        <v>73</v>
      </c>
      <c r="N63" s="2"/>
      <c r="P63" s="19"/>
    </row>
    <row r="64" spans="1:16">
      <c r="A64" s="2">
        <v>1</v>
      </c>
      <c r="B64" t="str">
        <f>IFERROR((_xlfn.XLOOKUP(A64,Diretriz!A:A,Diretriz!B:B)),"")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4" s="2" t="s">
        <v>4</v>
      </c>
      <c r="D64" t="str">
        <f>IFERROR((_xlfn.XLOOKUP(C64,Objetivo!C:C,Objetivo!D:D)), "")</f>
        <v>Fortalecer a Atenção Primária para apoiar o desenvolvimento de ações em saúde no estado.</v>
      </c>
      <c r="E64" s="21" t="s">
        <v>48</v>
      </c>
      <c r="F64" s="20" t="str">
        <f>IFERROR(_xlfn.XLOOKUP(E64,#REF!,#REF!), "")</f>
        <v/>
      </c>
      <c r="G64" s="22" t="s">
        <v>95</v>
      </c>
      <c r="H64" t="s">
        <v>535</v>
      </c>
      <c r="I64" s="23" t="s">
        <v>455</v>
      </c>
      <c r="J64" s="6" t="s">
        <v>374</v>
      </c>
      <c r="K64" s="2">
        <v>10</v>
      </c>
      <c r="N64" s="2"/>
      <c r="P64" s="19"/>
    </row>
    <row r="65" spans="1:16">
      <c r="A65" s="2">
        <v>1</v>
      </c>
      <c r="B65" t="str">
        <f>IFERROR((_xlfn.XLOOKUP(A65,Diretriz!A:A,Diretriz!B:B)),"")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5" s="2" t="s">
        <v>4</v>
      </c>
      <c r="D65" t="str">
        <f>IFERROR((_xlfn.XLOOKUP(C65,Objetivo!C:C,Objetivo!D:D)), "")</f>
        <v>Fortalecer a Atenção Primária para apoiar o desenvolvimento de ações em saúde no estado.</v>
      </c>
      <c r="E65" s="21" t="s">
        <v>48</v>
      </c>
      <c r="F65" s="20" t="str">
        <f>IFERROR(_xlfn.XLOOKUP(E65,#REF!,#REF!), "")</f>
        <v/>
      </c>
      <c r="G65" s="22" t="s">
        <v>538</v>
      </c>
      <c r="H65" t="s">
        <v>536</v>
      </c>
      <c r="I65" s="23" t="s">
        <v>455</v>
      </c>
      <c r="J65" s="6" t="s">
        <v>374</v>
      </c>
      <c r="K65" s="2">
        <v>326</v>
      </c>
      <c r="N65" s="2"/>
      <c r="P65" s="19"/>
    </row>
    <row r="66" spans="1:16">
      <c r="A66" s="2">
        <v>1</v>
      </c>
      <c r="B66" t="str">
        <f>IFERROR((_xlfn.XLOOKUP(A66,Diretriz!A:A,Diretriz!B:B)),"")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6" s="2" t="s">
        <v>4</v>
      </c>
      <c r="D66" t="str">
        <f>IFERROR((_xlfn.XLOOKUP(C66,Objetivo!C:C,Objetivo!D:D)), "")</f>
        <v>Fortalecer a Atenção Primária para apoiar o desenvolvimento de ações em saúde no estado.</v>
      </c>
      <c r="E66" s="21" t="s">
        <v>48</v>
      </c>
      <c r="F66" s="20" t="str">
        <f>IFERROR(_xlfn.XLOOKUP(E66,#REF!,#REF!), "")</f>
        <v/>
      </c>
      <c r="G66" s="22" t="s">
        <v>539</v>
      </c>
      <c r="H66" t="s">
        <v>537</v>
      </c>
      <c r="I66" s="24" t="s">
        <v>455</v>
      </c>
      <c r="J66" s="6" t="s">
        <v>374</v>
      </c>
      <c r="K66" s="6">
        <v>20</v>
      </c>
      <c r="P66" s="19"/>
    </row>
    <row r="67" spans="1:16" ht="15" customHeight="1">
      <c r="A67" s="2">
        <v>1</v>
      </c>
      <c r="B67" t="str">
        <f>IFERROR((_xlfn.XLOOKUP(A67,Diretriz!A:A,Diretriz!B:B)),"")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7" s="2" t="s">
        <v>4</v>
      </c>
      <c r="D67" t="str">
        <f>IFERROR((_xlfn.XLOOKUP(C67,Objetivo!C:C,Objetivo!D:D)), "")</f>
        <v>Fortalecer a Atenção Primária para apoiar o desenvolvimento de ações em saúde no estado.</v>
      </c>
      <c r="E67" s="21" t="s">
        <v>79</v>
      </c>
      <c r="F67" s="20" t="str">
        <f>IFERROR(_xlfn.XLOOKUP(E67,#REF!,#REF!), "")</f>
        <v/>
      </c>
      <c r="G67" s="22" t="s">
        <v>149</v>
      </c>
      <c r="H67" t="s">
        <v>540</v>
      </c>
      <c r="I67" s="24" t="s">
        <v>455</v>
      </c>
      <c r="J67" s="6" t="s">
        <v>374</v>
      </c>
      <c r="K67" s="6">
        <v>50</v>
      </c>
      <c r="P67" s="19"/>
    </row>
    <row r="68" spans="1:16" ht="15" customHeight="1">
      <c r="A68" s="2">
        <v>1</v>
      </c>
      <c r="B68" t="str">
        <f>IFERROR((_xlfn.XLOOKUP(A68,Diretriz!A:A,Diretriz!B:B)),"")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8" s="2" t="s">
        <v>4</v>
      </c>
      <c r="D68" t="str">
        <f>IFERROR((_xlfn.XLOOKUP(C68,Objetivo!C:C,Objetivo!D:D)), "")</f>
        <v>Fortalecer a Atenção Primária para apoiar o desenvolvimento de ações em saúde no estado.</v>
      </c>
      <c r="E68" s="21" t="s">
        <v>79</v>
      </c>
      <c r="F68" s="20" t="str">
        <f>IFERROR(_xlfn.XLOOKUP(E68,#REF!,#REF!), "")</f>
        <v/>
      </c>
      <c r="G68" s="22" t="s">
        <v>150</v>
      </c>
      <c r="H68" t="s">
        <v>541</v>
      </c>
      <c r="I68" s="24" t="s">
        <v>455</v>
      </c>
      <c r="J68" s="6" t="s">
        <v>374</v>
      </c>
      <c r="K68" s="6">
        <v>10</v>
      </c>
      <c r="P68" s="19"/>
    </row>
    <row r="69" spans="1:16" ht="15" customHeight="1">
      <c r="A69" s="2">
        <v>1</v>
      </c>
      <c r="B69" t="str">
        <f>IFERROR((_xlfn.XLOOKUP(A69,Diretriz!A:A,Diretriz!B:B)),"")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69" s="2" t="s">
        <v>4</v>
      </c>
      <c r="D69" t="str">
        <f>IFERROR((_xlfn.XLOOKUP(C69,Objetivo!C:C,Objetivo!D:D)), "")</f>
        <v>Fortalecer a Atenção Primária para apoiar o desenvolvimento de ações em saúde no estado.</v>
      </c>
      <c r="E69" s="21" t="s">
        <v>79</v>
      </c>
      <c r="F69" s="20" t="str">
        <f>IFERROR(_xlfn.XLOOKUP(E69,#REF!,#REF!), "")</f>
        <v/>
      </c>
      <c r="G69" s="22" t="s">
        <v>151</v>
      </c>
      <c r="H69" t="s">
        <v>542</v>
      </c>
      <c r="I69" s="24" t="s">
        <v>455</v>
      </c>
      <c r="J69" s="6" t="s">
        <v>374</v>
      </c>
      <c r="K69" s="6">
        <v>30</v>
      </c>
      <c r="P69" s="19"/>
    </row>
    <row r="70" spans="1:16" ht="15" customHeight="1">
      <c r="A70" s="2">
        <v>1</v>
      </c>
      <c r="B70" t="str">
        <f>IFERROR((_xlfn.XLOOKUP(A70,Diretriz!A:A,Diretriz!B:B)),"")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0" s="2" t="s">
        <v>4</v>
      </c>
      <c r="D70" t="str">
        <f>IFERROR((_xlfn.XLOOKUP(C70,Objetivo!C:C,Objetivo!D:D)), "")</f>
        <v>Fortalecer a Atenção Primária para apoiar o desenvolvimento de ações em saúde no estado.</v>
      </c>
      <c r="E70" s="21" t="s">
        <v>79</v>
      </c>
      <c r="F70" s="20" t="str">
        <f>IFERROR(_xlfn.XLOOKUP(E70,#REF!,#REF!), "")</f>
        <v/>
      </c>
      <c r="G70" s="22" t="s">
        <v>152</v>
      </c>
      <c r="H70" t="s">
        <v>543</v>
      </c>
      <c r="I70" s="24" t="s">
        <v>455</v>
      </c>
      <c r="J70" s="6" t="s">
        <v>374</v>
      </c>
      <c r="K70" s="6">
        <v>30</v>
      </c>
      <c r="P70" s="19"/>
    </row>
    <row r="71" spans="1:16" ht="15" customHeight="1">
      <c r="A71" s="2">
        <v>1</v>
      </c>
      <c r="B71" t="str">
        <f>IFERROR((_xlfn.XLOOKUP(A71,Diretriz!A:A,Diretriz!B:B)),"")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1" s="2" t="s">
        <v>4</v>
      </c>
      <c r="D71" t="str">
        <f>IFERROR((_xlfn.XLOOKUP(C71,Objetivo!C:C,Objetivo!D:D)), "")</f>
        <v>Fortalecer a Atenção Primária para apoiar o desenvolvimento de ações em saúde no estado.</v>
      </c>
      <c r="E71" s="21" t="s">
        <v>79</v>
      </c>
      <c r="F71" s="20" t="str">
        <f>IFERROR(_xlfn.XLOOKUP(E71,#REF!,#REF!), "")</f>
        <v/>
      </c>
      <c r="G71" s="22" t="s">
        <v>153</v>
      </c>
      <c r="H71" t="s">
        <v>544</v>
      </c>
      <c r="I71" s="24" t="s">
        <v>455</v>
      </c>
      <c r="J71" s="6" t="s">
        <v>374</v>
      </c>
      <c r="K71" s="6">
        <v>94</v>
      </c>
      <c r="P71" s="19"/>
    </row>
    <row r="72" spans="1:16" ht="15" customHeight="1">
      <c r="A72" s="2">
        <v>1</v>
      </c>
      <c r="B72" t="str">
        <f>IFERROR((_xlfn.XLOOKUP(A72,Diretriz!A:A,Diretriz!B:B)),"")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2" s="2" t="s">
        <v>4</v>
      </c>
      <c r="D72" t="str">
        <f>IFERROR((_xlfn.XLOOKUP(C72,Objetivo!C:C,Objetivo!D:D)), "")</f>
        <v>Fortalecer a Atenção Primária para apoiar o desenvolvimento de ações em saúde no estado.</v>
      </c>
      <c r="E72" s="21" t="s">
        <v>79</v>
      </c>
      <c r="F72" s="20" t="str">
        <f>IFERROR(_xlfn.XLOOKUP(E72,#REF!,#REF!), "")</f>
        <v/>
      </c>
      <c r="G72" s="22" t="s">
        <v>154</v>
      </c>
      <c r="H72" t="s">
        <v>545</v>
      </c>
      <c r="I72" s="24" t="s">
        <v>455</v>
      </c>
      <c r="J72" s="6" t="s">
        <v>374</v>
      </c>
      <c r="K72" s="6">
        <v>30</v>
      </c>
      <c r="P72" s="19"/>
    </row>
    <row r="73" spans="1:16" ht="15" customHeight="1">
      <c r="A73" s="2">
        <v>1</v>
      </c>
      <c r="B73" t="str">
        <f>IFERROR((_xlfn.XLOOKUP(A73,Diretriz!A:A,Diretriz!B:B)),"")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3" s="2" t="s">
        <v>5</v>
      </c>
      <c r="D73" t="str">
        <f>IFERROR((_xlfn.XLOOKUP(C73,Objetivo!C:C,Objetivo!D:D)), "")</f>
        <v>Aprimorar as ações de Vigilância em Saúde para promoção, prevenção e controle de doenças e agravos.</v>
      </c>
      <c r="E73" s="21" t="s">
        <v>79</v>
      </c>
      <c r="F73" s="20" t="str">
        <f>IFERROR(_xlfn.XLOOKUP(E73,#REF!,#REF!), "")</f>
        <v/>
      </c>
      <c r="G73" s="22" t="s">
        <v>550</v>
      </c>
      <c r="H73" t="s">
        <v>546</v>
      </c>
      <c r="I73" s="24" t="s">
        <v>455</v>
      </c>
      <c r="J73" s="6" t="s">
        <v>374</v>
      </c>
      <c r="K73" s="6">
        <v>70</v>
      </c>
      <c r="P73" s="19"/>
    </row>
    <row r="74" spans="1:16" ht="15" customHeight="1">
      <c r="A74" s="2">
        <v>1</v>
      </c>
      <c r="B74" t="str">
        <f>IFERROR((_xlfn.XLOOKUP(A74,Diretriz!A:A,Diretriz!B:B)),"")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4" s="2" t="s">
        <v>5</v>
      </c>
      <c r="D74" t="str">
        <f>IFERROR((_xlfn.XLOOKUP(C74,Objetivo!C:C,Objetivo!D:D)), "")</f>
        <v>Aprimorar as ações de Vigilância em Saúde para promoção, prevenção e controle de doenças e agravos.</v>
      </c>
      <c r="E74" s="21" t="s">
        <v>79</v>
      </c>
      <c r="F74" s="20" t="str">
        <f>IFERROR(_xlfn.XLOOKUP(E74,#REF!,#REF!), "")</f>
        <v/>
      </c>
      <c r="G74" s="22" t="s">
        <v>551</v>
      </c>
      <c r="H74" t="s">
        <v>547</v>
      </c>
      <c r="I74" s="24" t="s">
        <v>455</v>
      </c>
      <c r="J74" s="6" t="s">
        <v>374</v>
      </c>
      <c r="K74" s="6">
        <v>30</v>
      </c>
      <c r="P74" s="19"/>
    </row>
    <row r="75" spans="1:16" ht="15" customHeight="1">
      <c r="A75" s="2">
        <v>1</v>
      </c>
      <c r="B75" t="str">
        <f>IFERROR((_xlfn.XLOOKUP(A75,Diretriz!A:A,Diretriz!B:B)),"")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5" s="2" t="s">
        <v>5</v>
      </c>
      <c r="D75" t="str">
        <f>IFERROR((_xlfn.XLOOKUP(C75,Objetivo!C:C,Objetivo!D:D)), "")</f>
        <v>Aprimorar as ações de Vigilância em Saúde para promoção, prevenção e controle de doenças e agravos.</v>
      </c>
      <c r="E75" s="21" t="s">
        <v>79</v>
      </c>
      <c r="F75" s="20" t="str">
        <f>IFERROR(_xlfn.XLOOKUP(E75,#REF!,#REF!), "")</f>
        <v/>
      </c>
      <c r="G75" s="22" t="s">
        <v>552</v>
      </c>
      <c r="H75" t="s">
        <v>548</v>
      </c>
      <c r="I75" s="24" t="s">
        <v>455</v>
      </c>
      <c r="J75" s="6" t="s">
        <v>374</v>
      </c>
      <c r="K75" s="6">
        <v>3</v>
      </c>
      <c r="P75" s="19"/>
    </row>
    <row r="76" spans="1:16" ht="15.75" customHeight="1">
      <c r="A76" s="2">
        <v>1</v>
      </c>
      <c r="B76" t="str">
        <f>IFERROR((_xlfn.XLOOKUP(A76,Diretriz!A:A,Diretriz!B:B)),"")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6" s="2" t="s">
        <v>5</v>
      </c>
      <c r="D76" t="str">
        <f>IFERROR((_xlfn.XLOOKUP(C76,Objetivo!C:C,Objetivo!D:D)), "")</f>
        <v>Aprimorar as ações de Vigilância em Saúde para promoção, prevenção e controle de doenças e agravos.</v>
      </c>
      <c r="E76" s="21" t="s">
        <v>79</v>
      </c>
      <c r="F76" s="20" t="str">
        <f>IFERROR(_xlfn.XLOOKUP(E76,#REF!,#REF!), "")</f>
        <v/>
      </c>
      <c r="G76" s="22" t="s">
        <v>553</v>
      </c>
      <c r="H76" t="s">
        <v>549</v>
      </c>
      <c r="I76" s="24" t="s">
        <v>455</v>
      </c>
      <c r="J76" s="6" t="s">
        <v>374</v>
      </c>
      <c r="K76" s="6">
        <v>3</v>
      </c>
      <c r="P76" s="19"/>
    </row>
    <row r="77" spans="1:16">
      <c r="A77" s="2">
        <v>1</v>
      </c>
      <c r="B77" t="str">
        <f>IFERROR((_xlfn.XLOOKUP(A77,Diretriz!A:A,Diretriz!B:B)),"")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7" s="2" t="s">
        <v>5</v>
      </c>
      <c r="D77" t="str">
        <f>IFERROR((_xlfn.XLOOKUP(C77,Objetivo!C:C,Objetivo!D:D)), "")</f>
        <v>Aprimorar as ações de Vigilância em Saúde para promoção, prevenção e controle de doenças e agravos.</v>
      </c>
      <c r="E77" s="21" t="s">
        <v>49</v>
      </c>
      <c r="F77" s="20" t="str">
        <f>IFERROR(_xlfn.XLOOKUP(E77,#REF!,#REF!), "")</f>
        <v/>
      </c>
      <c r="G77" s="22" t="s">
        <v>155</v>
      </c>
      <c r="H77" t="s">
        <v>112</v>
      </c>
      <c r="I77" s="24" t="s">
        <v>455</v>
      </c>
      <c r="J77" s="6" t="s">
        <v>374</v>
      </c>
      <c r="K77" s="6">
        <v>2990</v>
      </c>
      <c r="P77" s="19"/>
    </row>
    <row r="78" spans="1:16">
      <c r="A78" s="2">
        <v>1</v>
      </c>
      <c r="B78" t="str">
        <f>IFERROR((_xlfn.XLOOKUP(A78,Diretriz!A:A,Diretriz!B:B)),"")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8" s="2" t="s">
        <v>5</v>
      </c>
      <c r="D78" t="str">
        <f>IFERROR((_xlfn.XLOOKUP(C78,Objetivo!C:C,Objetivo!D:D)), "")</f>
        <v>Aprimorar as ações de Vigilância em Saúde para promoção, prevenção e controle de doenças e agravos.</v>
      </c>
      <c r="E78" s="21" t="s">
        <v>49</v>
      </c>
      <c r="F78" s="20" t="str">
        <f>IFERROR(_xlfn.XLOOKUP(E78,#REF!,#REF!), "")</f>
        <v/>
      </c>
      <c r="G78" s="22" t="s">
        <v>156</v>
      </c>
      <c r="H78" t="s">
        <v>554</v>
      </c>
      <c r="I78" s="24" t="s">
        <v>455</v>
      </c>
      <c r="J78" s="6" t="s">
        <v>374</v>
      </c>
      <c r="K78" s="6">
        <v>22310</v>
      </c>
      <c r="P78" s="19"/>
    </row>
    <row r="79" spans="1:16">
      <c r="A79" s="2">
        <v>1</v>
      </c>
      <c r="B79" t="str">
        <f>IFERROR((_xlfn.XLOOKUP(A79,Diretriz!A:A,Diretriz!B:B)),"")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79" s="2" t="s">
        <v>5</v>
      </c>
      <c r="D79" t="str">
        <f>IFERROR((_xlfn.XLOOKUP(C79,Objetivo!C:C,Objetivo!D:D)), "")</f>
        <v>Aprimorar as ações de Vigilância em Saúde para promoção, prevenção e controle de doenças e agravos.</v>
      </c>
      <c r="E79" s="21" t="s">
        <v>49</v>
      </c>
      <c r="F79" s="20" t="str">
        <f>IFERROR(_xlfn.XLOOKUP(E79,#REF!,#REF!), "")</f>
        <v/>
      </c>
      <c r="G79" s="22" t="s">
        <v>157</v>
      </c>
      <c r="H79" t="s">
        <v>555</v>
      </c>
      <c r="I79" s="24" t="s">
        <v>455</v>
      </c>
      <c r="J79" s="6" t="s">
        <v>374</v>
      </c>
      <c r="K79" s="6">
        <v>89</v>
      </c>
      <c r="P79" s="19"/>
    </row>
    <row r="80" spans="1:16">
      <c r="A80" s="2">
        <v>1</v>
      </c>
      <c r="B80" t="str">
        <f>IFERROR((_xlfn.XLOOKUP(A80,Diretriz!A:A,Diretriz!B:B)),"")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0" s="2" t="s">
        <v>5</v>
      </c>
      <c r="D80" t="str">
        <f>IFERROR((_xlfn.XLOOKUP(C80,Objetivo!C:C,Objetivo!D:D)), "")</f>
        <v>Aprimorar as ações de Vigilância em Saúde para promoção, prevenção e controle de doenças e agravos.</v>
      </c>
      <c r="E80" s="21" t="s">
        <v>49</v>
      </c>
      <c r="F80" s="20" t="str">
        <f>IFERROR(_xlfn.XLOOKUP(E80,#REF!,#REF!), "")</f>
        <v/>
      </c>
      <c r="G80" s="22" t="s">
        <v>158</v>
      </c>
      <c r="H80" t="s">
        <v>556</v>
      </c>
      <c r="I80" s="24" t="s">
        <v>455</v>
      </c>
      <c r="J80" s="6" t="s">
        <v>374</v>
      </c>
      <c r="K80" s="6">
        <v>66</v>
      </c>
      <c r="P80" s="19"/>
    </row>
    <row r="81" spans="1:16">
      <c r="A81" s="2">
        <v>1</v>
      </c>
      <c r="B81" t="str">
        <f>IFERROR((_xlfn.XLOOKUP(A81,Diretriz!A:A,Diretriz!B:B)),"")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1" s="2" t="s">
        <v>5</v>
      </c>
      <c r="D81" t="str">
        <f>IFERROR((_xlfn.XLOOKUP(C81,Objetivo!C:C,Objetivo!D:D)), "")</f>
        <v>Aprimorar as ações de Vigilância em Saúde para promoção, prevenção e controle de doenças e agravos.</v>
      </c>
      <c r="E81" s="21" t="s">
        <v>49</v>
      </c>
      <c r="F81" s="20" t="str">
        <f>IFERROR(_xlfn.XLOOKUP(E81,#REF!,#REF!), "")</f>
        <v/>
      </c>
      <c r="G81" s="22" t="s">
        <v>159</v>
      </c>
      <c r="H81" t="s">
        <v>113</v>
      </c>
      <c r="I81" s="24" t="s">
        <v>455</v>
      </c>
      <c r="J81" s="6" t="s">
        <v>374</v>
      </c>
      <c r="K81" s="6">
        <v>450</v>
      </c>
      <c r="P81" s="19"/>
    </row>
    <row r="82" spans="1:16">
      <c r="A82" s="2">
        <v>1</v>
      </c>
      <c r="B82" t="str">
        <f>IFERROR((_xlfn.XLOOKUP(A82,Diretriz!A:A,Diretriz!B:B)),"")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2" s="2" t="s">
        <v>5</v>
      </c>
      <c r="D82" t="str">
        <f>IFERROR((_xlfn.XLOOKUP(C82,Objetivo!C:C,Objetivo!D:D)), "")</f>
        <v>Aprimorar as ações de Vigilância em Saúde para promoção, prevenção e controle de doenças e agravos.</v>
      </c>
      <c r="E82" s="21" t="s">
        <v>49</v>
      </c>
      <c r="F82" s="20" t="str">
        <f>IFERROR(_xlfn.XLOOKUP(E82,#REF!,#REF!), "")</f>
        <v/>
      </c>
      <c r="G82" s="22" t="s">
        <v>160</v>
      </c>
      <c r="H82" t="s">
        <v>557</v>
      </c>
      <c r="I82" s="24" t="s">
        <v>455</v>
      </c>
      <c r="J82" s="6" t="s">
        <v>374</v>
      </c>
      <c r="K82" s="6">
        <v>40</v>
      </c>
      <c r="P82" s="19"/>
    </row>
    <row r="83" spans="1:16">
      <c r="A83" s="2">
        <v>1</v>
      </c>
      <c r="B83" t="str">
        <f>IFERROR((_xlfn.XLOOKUP(A83,Diretriz!A:A,Diretriz!B:B)),"")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3" s="2" t="s">
        <v>5</v>
      </c>
      <c r="D83" t="str">
        <f>IFERROR((_xlfn.XLOOKUP(C83,Objetivo!C:C,Objetivo!D:D)), "")</f>
        <v>Aprimorar as ações de Vigilância em Saúde para promoção, prevenção e controle de doenças e agravos.</v>
      </c>
      <c r="E83" s="21" t="s">
        <v>49</v>
      </c>
      <c r="F83" s="20" t="str">
        <f>IFERROR(_xlfn.XLOOKUP(E83,#REF!,#REF!), "")</f>
        <v/>
      </c>
      <c r="G83" s="22" t="s">
        <v>161</v>
      </c>
      <c r="H83" t="s">
        <v>558</v>
      </c>
      <c r="I83" s="24" t="s">
        <v>303</v>
      </c>
      <c r="J83" s="6" t="s">
        <v>374</v>
      </c>
      <c r="K83" s="6">
        <v>5</v>
      </c>
      <c r="P83" s="19"/>
    </row>
    <row r="84" spans="1:16">
      <c r="A84" s="2">
        <v>1</v>
      </c>
      <c r="B84" t="str">
        <f>IFERROR((_xlfn.XLOOKUP(A84,Diretriz!A:A,Diretriz!B:B)),"")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4" s="2" t="s">
        <v>5</v>
      </c>
      <c r="D84" t="str">
        <f>IFERROR((_xlfn.XLOOKUP(C84,Objetivo!C:C,Objetivo!D:D)), "")</f>
        <v>Aprimorar as ações de Vigilância em Saúde para promoção, prevenção e controle de doenças e agravos.</v>
      </c>
      <c r="E84" s="21" t="s">
        <v>49</v>
      </c>
      <c r="F84" s="20" t="str">
        <f>IFERROR(_xlfn.XLOOKUP(E84,#REF!,#REF!), "")</f>
        <v/>
      </c>
      <c r="G84" s="22" t="s">
        <v>162</v>
      </c>
      <c r="H84" t="s">
        <v>559</v>
      </c>
      <c r="I84" s="24" t="s">
        <v>455</v>
      </c>
      <c r="J84" s="6" t="s">
        <v>374</v>
      </c>
      <c r="K84" s="6">
        <v>50</v>
      </c>
      <c r="P84" s="19"/>
    </row>
    <row r="85" spans="1:16">
      <c r="A85" s="2">
        <v>1</v>
      </c>
      <c r="B85" t="str">
        <f>IFERROR((_xlfn.XLOOKUP(A85,Diretriz!A:A,Diretriz!B:B)),"")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5" s="2" t="s">
        <v>5</v>
      </c>
      <c r="D85" t="str">
        <f>IFERROR((_xlfn.XLOOKUP(C85,Objetivo!C:C,Objetivo!D:D)), "")</f>
        <v>Aprimorar as ações de Vigilância em Saúde para promoção, prevenção e controle de doenças e agravos.</v>
      </c>
      <c r="E85" s="21" t="s">
        <v>50</v>
      </c>
      <c r="F85" s="20" t="str">
        <f>IFERROR(_xlfn.XLOOKUP(E85,#REF!,#REF!), "")</f>
        <v/>
      </c>
      <c r="G85" s="22" t="s">
        <v>163</v>
      </c>
      <c r="H85" t="s">
        <v>560</v>
      </c>
      <c r="I85" s="24" t="s">
        <v>314</v>
      </c>
      <c r="J85" s="6" t="s">
        <v>374</v>
      </c>
      <c r="K85" s="6">
        <v>29</v>
      </c>
      <c r="P85" s="19"/>
    </row>
    <row r="86" spans="1:16">
      <c r="A86" s="2">
        <v>1</v>
      </c>
      <c r="B86" t="str">
        <f>IFERROR((_xlfn.XLOOKUP(A86,Diretriz!A:A,Diretriz!B:B)),"")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6" s="2" t="s">
        <v>5</v>
      </c>
      <c r="D86" t="str">
        <f>IFERROR((_xlfn.XLOOKUP(C86,Objetivo!C:C,Objetivo!D:D)), "")</f>
        <v>Aprimorar as ações de Vigilância em Saúde para promoção, prevenção e controle de doenças e agravos.</v>
      </c>
      <c r="E86" s="21" t="s">
        <v>50</v>
      </c>
      <c r="F86" s="20" t="str">
        <f>IFERROR(_xlfn.XLOOKUP(E86,#REF!,#REF!), "")</f>
        <v/>
      </c>
      <c r="G86" s="22" t="s">
        <v>164</v>
      </c>
      <c r="H86" t="s">
        <v>561</v>
      </c>
      <c r="I86" s="24" t="s">
        <v>467</v>
      </c>
      <c r="J86" s="6" t="s">
        <v>374</v>
      </c>
      <c r="K86" s="6">
        <v>2</v>
      </c>
      <c r="P86" s="19"/>
    </row>
    <row r="87" spans="1:16">
      <c r="A87" s="2">
        <v>1</v>
      </c>
      <c r="B87" t="str">
        <f>IFERROR((_xlfn.XLOOKUP(A87,Diretriz!A:A,Diretriz!B:B)),"")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7" s="2" t="s">
        <v>5</v>
      </c>
      <c r="D87" t="str">
        <f>IFERROR((_xlfn.XLOOKUP(C87,Objetivo!C:C,Objetivo!D:D)), "")</f>
        <v>Aprimorar as ações de Vigilância em Saúde para promoção, prevenção e controle de doenças e agravos.</v>
      </c>
      <c r="E87" s="21" t="s">
        <v>50</v>
      </c>
      <c r="F87" s="20" t="str">
        <f>IFERROR(_xlfn.XLOOKUP(E87,#REF!,#REF!), "")</f>
        <v/>
      </c>
      <c r="G87" s="22" t="s">
        <v>565</v>
      </c>
      <c r="H87" t="s">
        <v>562</v>
      </c>
      <c r="I87" s="24" t="s">
        <v>490</v>
      </c>
      <c r="J87" s="6" t="s">
        <v>374</v>
      </c>
      <c r="K87" s="6">
        <v>28</v>
      </c>
      <c r="P87" s="19"/>
    </row>
    <row r="88" spans="1:16">
      <c r="A88" s="2">
        <v>1</v>
      </c>
      <c r="B88" t="str">
        <f>IFERROR((_xlfn.XLOOKUP(A88,Diretriz!A:A,Diretriz!B:B)),"")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8" s="2" t="s">
        <v>5</v>
      </c>
      <c r="D88" t="str">
        <f>IFERROR((_xlfn.XLOOKUP(C88,Objetivo!C:C,Objetivo!D:D)), "")</f>
        <v>Aprimorar as ações de Vigilância em Saúde para promoção, prevenção e controle de doenças e agravos.</v>
      </c>
      <c r="E88" s="21" t="s">
        <v>50</v>
      </c>
      <c r="F88" s="20" t="str">
        <f>IFERROR(_xlfn.XLOOKUP(E88,#REF!,#REF!), "")</f>
        <v/>
      </c>
      <c r="G88" s="22" t="s">
        <v>566</v>
      </c>
      <c r="H88" t="s">
        <v>563</v>
      </c>
      <c r="I88" s="24" t="s">
        <v>571</v>
      </c>
      <c r="J88" s="6" t="s">
        <v>374</v>
      </c>
      <c r="K88" s="6">
        <v>4</v>
      </c>
      <c r="P88" s="19"/>
    </row>
    <row r="89" spans="1:16">
      <c r="A89" s="2">
        <v>1</v>
      </c>
      <c r="B89" t="str">
        <f>IFERROR((_xlfn.XLOOKUP(A89,Diretriz!A:A,Diretriz!B:B)),"")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89" s="2" t="s">
        <v>5</v>
      </c>
      <c r="D89" t="str">
        <f>IFERROR((_xlfn.XLOOKUP(C89,Objetivo!C:C,Objetivo!D:D)), "")</f>
        <v>Aprimorar as ações de Vigilância em Saúde para promoção, prevenção e controle de doenças e agravos.</v>
      </c>
      <c r="E89" s="21" t="s">
        <v>50</v>
      </c>
      <c r="F89" s="20" t="str">
        <f>IFERROR(_xlfn.XLOOKUP(E89,#REF!,#REF!), "")</f>
        <v/>
      </c>
      <c r="G89" s="22" t="s">
        <v>567</v>
      </c>
      <c r="H89" t="s">
        <v>564</v>
      </c>
      <c r="I89" s="24" t="s">
        <v>457</v>
      </c>
      <c r="J89" s="6" t="s">
        <v>374</v>
      </c>
      <c r="K89" s="6">
        <v>2</v>
      </c>
      <c r="P89" s="19"/>
    </row>
    <row r="90" spans="1:16">
      <c r="A90" s="2">
        <v>1</v>
      </c>
      <c r="B90" t="str">
        <f>IFERROR((_xlfn.XLOOKUP(A90,Diretriz!A:A,Diretriz!B:B)),"")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0" s="2" t="s">
        <v>5</v>
      </c>
      <c r="D90" t="str">
        <f>IFERROR((_xlfn.XLOOKUP(C90,Objetivo!C:C,Objetivo!D:D)), "")</f>
        <v>Aprimorar as ações de Vigilância em Saúde para promoção, prevenção e controle de doenças e agravos.</v>
      </c>
      <c r="E90" s="21" t="s">
        <v>51</v>
      </c>
      <c r="F90" s="20" t="str">
        <f>IFERROR(_xlfn.XLOOKUP(E90,#REF!,#REF!), "")</f>
        <v/>
      </c>
      <c r="G90" s="22" t="s">
        <v>165</v>
      </c>
      <c r="H90" t="s">
        <v>568</v>
      </c>
      <c r="I90" s="24" t="s">
        <v>572</v>
      </c>
      <c r="J90" s="6" t="s">
        <v>374</v>
      </c>
      <c r="K90" s="6">
        <v>121400</v>
      </c>
      <c r="P90" s="19"/>
    </row>
    <row r="91" spans="1:16">
      <c r="A91" s="2">
        <v>1</v>
      </c>
      <c r="B91" t="str">
        <f>IFERROR((_xlfn.XLOOKUP(A91,Diretriz!A:A,Diretriz!B:B)),"")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1" s="2" t="s">
        <v>5</v>
      </c>
      <c r="D91" t="str">
        <f>IFERROR((_xlfn.XLOOKUP(C91,Objetivo!C:C,Objetivo!D:D)), "")</f>
        <v>Aprimorar as ações de Vigilância em Saúde para promoção, prevenção e controle de doenças e agravos.</v>
      </c>
      <c r="E91" s="21" t="s">
        <v>51</v>
      </c>
      <c r="F91" s="20" t="str">
        <f>IFERROR(_xlfn.XLOOKUP(E91,#REF!,#REF!), "")</f>
        <v/>
      </c>
      <c r="G91" s="22" t="s">
        <v>166</v>
      </c>
      <c r="H91" t="s">
        <v>569</v>
      </c>
      <c r="I91" s="24" t="s">
        <v>572</v>
      </c>
      <c r="J91" s="6" t="s">
        <v>374</v>
      </c>
      <c r="K91" s="6">
        <v>47000</v>
      </c>
      <c r="P91" s="19"/>
    </row>
    <row r="92" spans="1:16">
      <c r="A92" s="2">
        <v>1</v>
      </c>
      <c r="B92" t="str">
        <f>IFERROR((_xlfn.XLOOKUP(A92,Diretriz!A:A,Diretriz!B:B)),"")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2" s="2" t="s">
        <v>5</v>
      </c>
      <c r="D92" t="str">
        <f>IFERROR((_xlfn.XLOOKUP(C92,Objetivo!C:C,Objetivo!D:D)), "")</f>
        <v>Aprimorar as ações de Vigilância em Saúde para promoção, prevenção e controle de doenças e agravos.</v>
      </c>
      <c r="E92" s="21" t="s">
        <v>51</v>
      </c>
      <c r="F92" s="20" t="str">
        <f>IFERROR(_xlfn.XLOOKUP(E92,#REF!,#REF!), "")</f>
        <v/>
      </c>
      <c r="G92" s="22" t="s">
        <v>167</v>
      </c>
      <c r="H92" t="s">
        <v>570</v>
      </c>
      <c r="I92" s="24" t="s">
        <v>572</v>
      </c>
      <c r="J92" s="6" t="s">
        <v>374</v>
      </c>
      <c r="K92" s="6">
        <v>20000</v>
      </c>
      <c r="P92" s="19"/>
    </row>
    <row r="93" spans="1:16">
      <c r="A93" s="2">
        <v>1</v>
      </c>
      <c r="B93" t="str">
        <f>IFERROR((_xlfn.XLOOKUP(A93,Diretriz!A:A,Diretriz!B:B)),"")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3" s="2" t="s">
        <v>5</v>
      </c>
      <c r="D93" t="str">
        <f>IFERROR((_xlfn.XLOOKUP(C93,Objetivo!C:C,Objetivo!D:D)), "")</f>
        <v>Aprimorar as ações de Vigilância em Saúde para promoção, prevenção e controle de doenças e agravos.</v>
      </c>
      <c r="E93" s="21" t="s">
        <v>52</v>
      </c>
      <c r="F93" s="20" t="str">
        <f>IFERROR(_xlfn.XLOOKUP(E93,#REF!,#REF!), "")</f>
        <v/>
      </c>
      <c r="G93" s="22" t="s">
        <v>168</v>
      </c>
      <c r="H93" t="s">
        <v>573</v>
      </c>
      <c r="I93" s="24" t="s">
        <v>455</v>
      </c>
      <c r="J93" s="6" t="s">
        <v>374</v>
      </c>
      <c r="K93" s="6">
        <v>276</v>
      </c>
      <c r="P93" s="19"/>
    </row>
    <row r="94" spans="1:16">
      <c r="A94" s="2">
        <v>1</v>
      </c>
      <c r="B94" t="str">
        <f>IFERROR((_xlfn.XLOOKUP(A94,Diretriz!A:A,Diretriz!B:B)),"")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4" s="2" t="s">
        <v>5</v>
      </c>
      <c r="D94" t="str">
        <f>IFERROR((_xlfn.XLOOKUP(C94,Objetivo!C:C,Objetivo!D:D)), "")</f>
        <v>Aprimorar as ações de Vigilância em Saúde para promoção, prevenção e controle de doenças e agravos.</v>
      </c>
      <c r="E94" s="21" t="s">
        <v>52</v>
      </c>
      <c r="F94" s="20" t="str">
        <f>IFERROR(_xlfn.XLOOKUP(E94,#REF!,#REF!), "")</f>
        <v/>
      </c>
      <c r="G94" s="22" t="s">
        <v>169</v>
      </c>
      <c r="H94" t="s">
        <v>574</v>
      </c>
      <c r="I94" s="24" t="s">
        <v>455</v>
      </c>
      <c r="J94" s="6" t="s">
        <v>374</v>
      </c>
      <c r="K94" s="6">
        <v>217</v>
      </c>
      <c r="P94" s="19"/>
    </row>
    <row r="95" spans="1:16">
      <c r="A95" s="2">
        <v>1</v>
      </c>
      <c r="B95" t="str">
        <f>IFERROR((_xlfn.XLOOKUP(A95,Diretriz!A:A,Diretriz!B:B)),"")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5" s="2" t="s">
        <v>5</v>
      </c>
      <c r="D95" t="str">
        <f>IFERROR((_xlfn.XLOOKUP(C95,Objetivo!C:C,Objetivo!D:D)), "")</f>
        <v>Aprimorar as ações de Vigilância em Saúde para promoção, prevenção e controle de doenças e agravos.</v>
      </c>
      <c r="E95" s="21" t="s">
        <v>52</v>
      </c>
      <c r="F95" s="20" t="str">
        <f>IFERROR(_xlfn.XLOOKUP(E95,#REF!,#REF!), "")</f>
        <v/>
      </c>
      <c r="G95" s="22" t="s">
        <v>170</v>
      </c>
      <c r="H95" t="s">
        <v>575</v>
      </c>
      <c r="I95" s="24" t="s">
        <v>598</v>
      </c>
      <c r="J95" s="6" t="s">
        <v>374</v>
      </c>
      <c r="K95" s="6">
        <v>212</v>
      </c>
      <c r="P95" s="19"/>
    </row>
    <row r="96" spans="1:16">
      <c r="A96" s="2">
        <v>1</v>
      </c>
      <c r="B96" t="str">
        <f>IFERROR((_xlfn.XLOOKUP(A96,Diretriz!A:A,Diretriz!B:B)),"")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6" s="2" t="s">
        <v>5</v>
      </c>
      <c r="D96" t="str">
        <f>IFERROR((_xlfn.XLOOKUP(C96,Objetivo!C:C,Objetivo!D:D)), "")</f>
        <v>Aprimorar as ações de Vigilância em Saúde para promoção, prevenção e controle de doenças e agravos.</v>
      </c>
      <c r="E96" s="21" t="s">
        <v>52</v>
      </c>
      <c r="F96" s="20" t="str">
        <f>IFERROR(_xlfn.XLOOKUP(E96,#REF!,#REF!), "")</f>
        <v/>
      </c>
      <c r="G96" s="22" t="s">
        <v>171</v>
      </c>
      <c r="H96" t="s">
        <v>576</v>
      </c>
      <c r="I96" s="24" t="s">
        <v>599</v>
      </c>
      <c r="J96" s="6" t="s">
        <v>374</v>
      </c>
      <c r="K96" s="6">
        <v>217</v>
      </c>
      <c r="P96" s="19"/>
    </row>
    <row r="97" spans="1:16">
      <c r="A97" s="2">
        <v>1</v>
      </c>
      <c r="B97" t="str">
        <f>IFERROR((_xlfn.XLOOKUP(A97,Diretriz!A:A,Diretriz!B:B)),"")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7" s="2" t="s">
        <v>5</v>
      </c>
      <c r="D97" t="str">
        <f>IFERROR((_xlfn.XLOOKUP(C97,Objetivo!C:C,Objetivo!D:D)), "")</f>
        <v>Aprimorar as ações de Vigilância em Saúde para promoção, prevenção e controle de doenças e agravos.</v>
      </c>
      <c r="E97" s="21" t="s">
        <v>52</v>
      </c>
      <c r="F97" s="20" t="str">
        <f>IFERROR(_xlfn.XLOOKUP(E97,#REF!,#REF!), "")</f>
        <v/>
      </c>
      <c r="G97" s="22" t="s">
        <v>172</v>
      </c>
      <c r="H97" t="s">
        <v>577</v>
      </c>
      <c r="I97" s="24" t="s">
        <v>599</v>
      </c>
      <c r="J97" s="6" t="s">
        <v>374</v>
      </c>
      <c r="K97" s="6">
        <v>217</v>
      </c>
      <c r="P97" s="19"/>
    </row>
    <row r="98" spans="1:16">
      <c r="A98" s="2">
        <v>1</v>
      </c>
      <c r="B98" t="str">
        <f>IFERROR((_xlfn.XLOOKUP(A98,Diretriz!A:A,Diretriz!B:B)),"")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8" s="2" t="s">
        <v>5</v>
      </c>
      <c r="D98" t="str">
        <f>IFERROR((_xlfn.XLOOKUP(C98,Objetivo!C:C,Objetivo!D:D)), "")</f>
        <v>Aprimorar as ações de Vigilância em Saúde para promoção, prevenção e controle de doenças e agravos.</v>
      </c>
      <c r="E98" s="21" t="s">
        <v>52</v>
      </c>
      <c r="F98" s="20" t="str">
        <f>IFERROR(_xlfn.XLOOKUP(E98,#REF!,#REF!), "")</f>
        <v/>
      </c>
      <c r="G98" s="22" t="s">
        <v>173</v>
      </c>
      <c r="H98" t="s">
        <v>578</v>
      </c>
      <c r="I98" s="24" t="s">
        <v>599</v>
      </c>
      <c r="J98" s="6" t="s">
        <v>374</v>
      </c>
      <c r="K98" s="6">
        <v>276</v>
      </c>
      <c r="P98" s="19"/>
    </row>
    <row r="99" spans="1:16">
      <c r="A99" s="2">
        <v>1</v>
      </c>
      <c r="B99" t="str">
        <f>IFERROR((_xlfn.XLOOKUP(A99,Diretriz!A:A,Diretriz!B:B)),"")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99" s="2" t="s">
        <v>5</v>
      </c>
      <c r="D99" t="str">
        <f>IFERROR((_xlfn.XLOOKUP(C99,Objetivo!C:C,Objetivo!D:D)), "")</f>
        <v>Aprimorar as ações de Vigilância em Saúde para promoção, prevenção e controle de doenças e agravos.</v>
      </c>
      <c r="E99" s="21" t="s">
        <v>52</v>
      </c>
      <c r="F99" s="20" t="str">
        <f>IFERROR(_xlfn.XLOOKUP(E99,#REF!,#REF!), "")</f>
        <v/>
      </c>
      <c r="G99" s="22" t="s">
        <v>174</v>
      </c>
      <c r="H99" t="s">
        <v>579</v>
      </c>
      <c r="I99" s="24" t="s">
        <v>599</v>
      </c>
      <c r="J99" s="6" t="s">
        <v>374</v>
      </c>
      <c r="K99" s="6">
        <v>20</v>
      </c>
      <c r="P99" s="19"/>
    </row>
    <row r="100" spans="1:16">
      <c r="A100" s="2">
        <v>1</v>
      </c>
      <c r="B100" t="str">
        <f>IFERROR((_xlfn.XLOOKUP(A100,Diretriz!A:A,Diretriz!B:B)),"")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0" s="2" t="s">
        <v>5</v>
      </c>
      <c r="D100" t="str">
        <f>IFERROR((_xlfn.XLOOKUP(C100,Objetivo!C:C,Objetivo!D:D)), "")</f>
        <v>Aprimorar as ações de Vigilância em Saúde para promoção, prevenção e controle de doenças e agravos.</v>
      </c>
      <c r="E100" s="21" t="s">
        <v>52</v>
      </c>
      <c r="F100" s="20" t="str">
        <f>IFERROR(_xlfn.XLOOKUP(E100,#REF!,#REF!), "")</f>
        <v/>
      </c>
      <c r="G100" s="22" t="s">
        <v>175</v>
      </c>
      <c r="H100" t="s">
        <v>580</v>
      </c>
      <c r="I100" s="24" t="s">
        <v>599</v>
      </c>
      <c r="J100" s="6" t="s">
        <v>374</v>
      </c>
      <c r="K100" s="6">
        <v>20</v>
      </c>
      <c r="P100" s="19"/>
    </row>
    <row r="101" spans="1:16">
      <c r="A101" s="2">
        <v>1</v>
      </c>
      <c r="B101" t="str">
        <f>IFERROR((_xlfn.XLOOKUP(A101,Diretriz!A:A,Diretriz!B:B)),"")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1" s="2" t="s">
        <v>5</v>
      </c>
      <c r="D101" t="str">
        <f>IFERROR((_xlfn.XLOOKUP(C101,Objetivo!C:C,Objetivo!D:D)), "")</f>
        <v>Aprimorar as ações de Vigilância em Saúde para promoção, prevenção e controle de doenças e agravos.</v>
      </c>
      <c r="E101" s="21" t="s">
        <v>52</v>
      </c>
      <c r="F101" s="20" t="str">
        <f>IFERROR(_xlfn.XLOOKUP(E101,#REF!,#REF!), "")</f>
        <v/>
      </c>
      <c r="G101" s="22" t="s">
        <v>176</v>
      </c>
      <c r="H101" t="s">
        <v>581</v>
      </c>
      <c r="I101" s="24" t="s">
        <v>599</v>
      </c>
      <c r="J101" s="6" t="s">
        <v>374</v>
      </c>
      <c r="K101" s="6">
        <v>20</v>
      </c>
      <c r="P101" s="19"/>
    </row>
    <row r="102" spans="1:16">
      <c r="A102" s="2">
        <v>1</v>
      </c>
      <c r="B102" t="str">
        <f>IFERROR((_xlfn.XLOOKUP(A102,Diretriz!A:A,Diretriz!B:B)),"")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2" s="2" t="s">
        <v>5</v>
      </c>
      <c r="D102" t="str">
        <f>IFERROR((_xlfn.XLOOKUP(C102,Objetivo!C:C,Objetivo!D:D)), "")</f>
        <v>Aprimorar as ações de Vigilância em Saúde para promoção, prevenção e controle de doenças e agravos.</v>
      </c>
      <c r="E102" s="21" t="s">
        <v>52</v>
      </c>
      <c r="F102" s="20" t="str">
        <f>IFERROR(_xlfn.XLOOKUP(E102,#REF!,#REF!), "")</f>
        <v/>
      </c>
      <c r="G102" s="22" t="s">
        <v>177</v>
      </c>
      <c r="H102" t="s">
        <v>114</v>
      </c>
      <c r="I102" s="24" t="s">
        <v>599</v>
      </c>
      <c r="J102" s="6" t="s">
        <v>374</v>
      </c>
      <c r="K102" s="6">
        <v>80</v>
      </c>
      <c r="P102" s="19"/>
    </row>
    <row r="103" spans="1:16">
      <c r="A103" s="2">
        <v>1</v>
      </c>
      <c r="B103" t="str">
        <f>IFERROR((_xlfn.XLOOKUP(A103,Diretriz!A:A,Diretriz!B:B)),"")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3" s="2" t="s">
        <v>5</v>
      </c>
      <c r="D103" t="str">
        <f>IFERROR((_xlfn.XLOOKUP(C103,Objetivo!C:C,Objetivo!D:D)), "")</f>
        <v>Aprimorar as ações de Vigilância em Saúde para promoção, prevenção e controle de doenças e agravos.</v>
      </c>
      <c r="E103" s="21" t="s">
        <v>52</v>
      </c>
      <c r="F103" s="20" t="str">
        <f>IFERROR(_xlfn.XLOOKUP(E103,#REF!,#REF!), "")</f>
        <v/>
      </c>
      <c r="G103" s="22" t="s">
        <v>178</v>
      </c>
      <c r="H103" t="s">
        <v>582</v>
      </c>
      <c r="I103" s="24" t="s">
        <v>600</v>
      </c>
      <c r="J103" s="6" t="s">
        <v>374</v>
      </c>
      <c r="K103" s="6">
        <v>10000</v>
      </c>
      <c r="P103" s="19"/>
    </row>
    <row r="104" spans="1:16">
      <c r="A104" s="2">
        <v>1</v>
      </c>
      <c r="B104" t="str">
        <f>IFERROR((_xlfn.XLOOKUP(A104,Diretriz!A:A,Diretriz!B:B)),"")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4" s="2" t="s">
        <v>5</v>
      </c>
      <c r="D104" t="str">
        <f>IFERROR((_xlfn.XLOOKUP(C104,Objetivo!C:C,Objetivo!D:D)), "")</f>
        <v>Aprimorar as ações de Vigilância em Saúde para promoção, prevenção e controle de doenças e agravos.</v>
      </c>
      <c r="E104" s="21" t="s">
        <v>52</v>
      </c>
      <c r="F104" s="20" t="str">
        <f>IFERROR(_xlfn.XLOOKUP(E104,#REF!,#REF!), "")</f>
        <v/>
      </c>
      <c r="G104" s="22" t="s">
        <v>179</v>
      </c>
      <c r="H104" t="s">
        <v>583</v>
      </c>
      <c r="I104" s="24" t="s">
        <v>601</v>
      </c>
      <c r="J104" s="6" t="s">
        <v>374</v>
      </c>
      <c r="K104" s="6">
        <v>1</v>
      </c>
      <c r="P104" s="19"/>
    </row>
    <row r="105" spans="1:16">
      <c r="A105" s="2">
        <v>1</v>
      </c>
      <c r="B105" t="str">
        <f>IFERROR((_xlfn.XLOOKUP(A105,Diretriz!A:A,Diretriz!B:B)),"")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5" s="2" t="s">
        <v>5</v>
      </c>
      <c r="D105" t="str">
        <f>IFERROR((_xlfn.XLOOKUP(C105,Objetivo!C:C,Objetivo!D:D)), "")</f>
        <v>Aprimorar as ações de Vigilância em Saúde para promoção, prevenção e controle de doenças e agravos.</v>
      </c>
      <c r="E105" s="21" t="s">
        <v>52</v>
      </c>
      <c r="F105" s="20" t="str">
        <f>IFERROR(_xlfn.XLOOKUP(E105,#REF!,#REF!), "")</f>
        <v/>
      </c>
      <c r="G105" s="22" t="s">
        <v>180</v>
      </c>
      <c r="H105" t="s">
        <v>584</v>
      </c>
      <c r="I105" s="24" t="s">
        <v>601</v>
      </c>
      <c r="J105" s="6" t="s">
        <v>374</v>
      </c>
      <c r="K105" s="6">
        <v>1</v>
      </c>
      <c r="P105" s="19"/>
    </row>
    <row r="106" spans="1:16">
      <c r="A106" s="2">
        <v>1</v>
      </c>
      <c r="B106" t="str">
        <f>IFERROR((_xlfn.XLOOKUP(A106,Diretriz!A:A,Diretriz!B:B)),"")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6" s="2" t="s">
        <v>5</v>
      </c>
      <c r="D106" t="str">
        <f>IFERROR((_xlfn.XLOOKUP(C106,Objetivo!C:C,Objetivo!D:D)), "")</f>
        <v>Aprimorar as ações de Vigilância em Saúde para promoção, prevenção e controle de doenças e agravos.</v>
      </c>
      <c r="E106" s="21" t="s">
        <v>52</v>
      </c>
      <c r="F106" s="20" t="str">
        <f>IFERROR(_xlfn.XLOOKUP(E106,#REF!,#REF!), "")</f>
        <v/>
      </c>
      <c r="G106" s="22" t="s">
        <v>181</v>
      </c>
      <c r="H106" t="s">
        <v>585</v>
      </c>
      <c r="I106" s="24" t="s">
        <v>598</v>
      </c>
      <c r="J106" s="6" t="s">
        <v>374</v>
      </c>
      <c r="K106" s="6">
        <v>2</v>
      </c>
      <c r="P106" s="19"/>
    </row>
    <row r="107" spans="1:16">
      <c r="A107" s="2">
        <v>1</v>
      </c>
      <c r="B107" t="str">
        <f>IFERROR((_xlfn.XLOOKUP(A107,Diretriz!A:A,Diretriz!B:B)),"")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7" s="2" t="s">
        <v>5</v>
      </c>
      <c r="D107" t="str">
        <f>IFERROR((_xlfn.XLOOKUP(C107,Objetivo!C:C,Objetivo!D:D)), "")</f>
        <v>Aprimorar as ações de Vigilância em Saúde para promoção, prevenção e controle de doenças e agravos.</v>
      </c>
      <c r="E107" s="21" t="s">
        <v>52</v>
      </c>
      <c r="F107" s="20" t="str">
        <f>IFERROR(_xlfn.XLOOKUP(E107,#REF!,#REF!), "")</f>
        <v/>
      </c>
      <c r="G107" s="22" t="s">
        <v>182</v>
      </c>
      <c r="H107" t="s">
        <v>586</v>
      </c>
      <c r="I107" s="24" t="s">
        <v>492</v>
      </c>
      <c r="J107" s="6" t="s">
        <v>374</v>
      </c>
      <c r="K107" s="6">
        <v>2</v>
      </c>
      <c r="P107" s="19"/>
    </row>
    <row r="108" spans="1:16">
      <c r="A108" s="2">
        <v>1</v>
      </c>
      <c r="B108" t="str">
        <f>IFERROR((_xlfn.XLOOKUP(A108,Diretriz!A:A,Diretriz!B:B)),"")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8" s="2" t="s">
        <v>5</v>
      </c>
      <c r="D108" t="str">
        <f>IFERROR((_xlfn.XLOOKUP(C108,Objetivo!C:C,Objetivo!D:D)), "")</f>
        <v>Aprimorar as ações de Vigilância em Saúde para promoção, prevenção e controle de doenças e agravos.</v>
      </c>
      <c r="E108" s="21" t="s">
        <v>52</v>
      </c>
      <c r="F108" s="20" t="str">
        <f>IFERROR(_xlfn.XLOOKUP(E108,#REF!,#REF!), "")</f>
        <v/>
      </c>
      <c r="G108" s="22" t="s">
        <v>183</v>
      </c>
      <c r="H108" t="s">
        <v>587</v>
      </c>
      <c r="I108" s="24" t="s">
        <v>602</v>
      </c>
      <c r="J108" s="6" t="s">
        <v>374</v>
      </c>
      <c r="K108" s="6">
        <v>3080</v>
      </c>
      <c r="P108" s="19"/>
    </row>
    <row r="109" spans="1:16">
      <c r="A109" s="2">
        <v>1</v>
      </c>
      <c r="B109" t="str">
        <f>IFERROR((_xlfn.XLOOKUP(A109,Diretriz!A:A,Diretriz!B:B)),"")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09" s="2" t="s">
        <v>5</v>
      </c>
      <c r="D109" t="str">
        <f>IFERROR((_xlfn.XLOOKUP(C109,Objetivo!C:C,Objetivo!D:D)), "")</f>
        <v>Aprimorar as ações de Vigilância em Saúde para promoção, prevenção e controle de doenças e agravos.</v>
      </c>
      <c r="E109" s="21" t="s">
        <v>52</v>
      </c>
      <c r="F109" s="20" t="str">
        <f>IFERROR(_xlfn.XLOOKUP(E109,#REF!,#REF!), "")</f>
        <v/>
      </c>
      <c r="G109" s="22" t="s">
        <v>184</v>
      </c>
      <c r="H109" t="s">
        <v>588</v>
      </c>
      <c r="I109" s="24" t="s">
        <v>455</v>
      </c>
      <c r="J109" s="6" t="s">
        <v>374</v>
      </c>
      <c r="K109" s="6">
        <v>30</v>
      </c>
      <c r="P109" s="19"/>
    </row>
    <row r="110" spans="1:16">
      <c r="A110" s="2">
        <v>1</v>
      </c>
      <c r="B110" t="str">
        <f>IFERROR((_xlfn.XLOOKUP(A110,Diretriz!A:A,Diretriz!B:B)),"")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0" s="2" t="s">
        <v>5</v>
      </c>
      <c r="D110" t="str">
        <f>IFERROR((_xlfn.XLOOKUP(C110,Objetivo!C:C,Objetivo!D:D)), "")</f>
        <v>Aprimorar as ações de Vigilância em Saúde para promoção, prevenção e controle de doenças e agravos.</v>
      </c>
      <c r="E110" s="21" t="s">
        <v>52</v>
      </c>
      <c r="F110" s="20" t="str">
        <f>IFERROR(_xlfn.XLOOKUP(E110,#REF!,#REF!), "")</f>
        <v/>
      </c>
      <c r="G110" s="22" t="s">
        <v>185</v>
      </c>
      <c r="H110" t="s">
        <v>589</v>
      </c>
      <c r="I110" s="24" t="s">
        <v>308</v>
      </c>
      <c r="J110" s="6" t="s">
        <v>374</v>
      </c>
      <c r="K110" s="6">
        <v>1</v>
      </c>
      <c r="P110" s="19"/>
    </row>
    <row r="111" spans="1:16">
      <c r="A111" s="2">
        <v>1</v>
      </c>
      <c r="B111" t="str">
        <f>IFERROR((_xlfn.XLOOKUP(A111,Diretriz!A:A,Diretriz!B:B)),"")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1" s="2" t="s">
        <v>5</v>
      </c>
      <c r="D111" t="str">
        <f>IFERROR((_xlfn.XLOOKUP(C111,Objetivo!C:C,Objetivo!D:D)), "")</f>
        <v>Aprimorar as ações de Vigilância em Saúde para promoção, prevenção e controle de doenças e agravos.</v>
      </c>
      <c r="E111" s="21" t="s">
        <v>52</v>
      </c>
      <c r="F111" s="20" t="str">
        <f>IFERROR(_xlfn.XLOOKUP(E111,#REF!,#REF!), "")</f>
        <v/>
      </c>
      <c r="G111" s="22" t="s">
        <v>605</v>
      </c>
      <c r="H111" t="s">
        <v>590</v>
      </c>
      <c r="I111" s="24" t="s">
        <v>306</v>
      </c>
      <c r="J111" s="6" t="s">
        <v>374</v>
      </c>
      <c r="K111" s="6">
        <v>1</v>
      </c>
      <c r="P111" s="19"/>
    </row>
    <row r="112" spans="1:16">
      <c r="A112" s="2">
        <v>1</v>
      </c>
      <c r="B112" t="str">
        <f>IFERROR((_xlfn.XLOOKUP(A112,Diretriz!A:A,Diretriz!B:B)),"")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2" s="2" t="s">
        <v>5</v>
      </c>
      <c r="D112" t="str">
        <f>IFERROR((_xlfn.XLOOKUP(C112,Objetivo!C:C,Objetivo!D:D)), "")</f>
        <v>Aprimorar as ações de Vigilância em Saúde para promoção, prevenção e controle de doenças e agravos.</v>
      </c>
      <c r="E112" s="21" t="s">
        <v>52</v>
      </c>
      <c r="F112" s="20" t="str">
        <f>IFERROR(_xlfn.XLOOKUP(E112,#REF!,#REF!), "")</f>
        <v/>
      </c>
      <c r="G112" s="22" t="s">
        <v>606</v>
      </c>
      <c r="H112" t="s">
        <v>591</v>
      </c>
      <c r="I112" s="24" t="s">
        <v>603</v>
      </c>
      <c r="J112" s="6" t="s">
        <v>374</v>
      </c>
      <c r="K112" s="6">
        <v>8</v>
      </c>
      <c r="P112" s="19"/>
    </row>
    <row r="113" spans="1:16">
      <c r="A113" s="2">
        <v>1</v>
      </c>
      <c r="B113" t="str">
        <f>IFERROR((_xlfn.XLOOKUP(A113,Diretriz!A:A,Diretriz!B:B)),"")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3" s="2" t="s">
        <v>5</v>
      </c>
      <c r="D113" t="str">
        <f>IFERROR((_xlfn.XLOOKUP(C113,Objetivo!C:C,Objetivo!D:D)), "")</f>
        <v>Aprimorar as ações de Vigilância em Saúde para promoção, prevenção e controle de doenças e agravos.</v>
      </c>
      <c r="E113" s="21" t="s">
        <v>52</v>
      </c>
      <c r="F113" s="20" t="str">
        <f>IFERROR(_xlfn.XLOOKUP(E113,#REF!,#REF!), "")</f>
        <v/>
      </c>
      <c r="G113" s="22" t="s">
        <v>607</v>
      </c>
      <c r="H113" t="s">
        <v>592</v>
      </c>
      <c r="I113" s="24" t="s">
        <v>604</v>
      </c>
      <c r="J113" s="6" t="s">
        <v>374</v>
      </c>
      <c r="K113" s="6">
        <v>3</v>
      </c>
      <c r="P113" s="19"/>
    </row>
    <row r="114" spans="1:16">
      <c r="A114" s="2">
        <v>1</v>
      </c>
      <c r="B114" t="str">
        <f>IFERROR((_xlfn.XLOOKUP(A114,Diretriz!A:A,Diretriz!B:B)),"")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4" s="2" t="s">
        <v>5</v>
      </c>
      <c r="D114" t="str">
        <f>IFERROR((_xlfn.XLOOKUP(C114,Objetivo!C:C,Objetivo!D:D)), "")</f>
        <v>Aprimorar as ações de Vigilância em Saúde para promoção, prevenção e controle de doenças e agravos.</v>
      </c>
      <c r="E114" s="21" t="s">
        <v>52</v>
      </c>
      <c r="F114" s="20" t="str">
        <f>IFERROR(_xlfn.XLOOKUP(E114,#REF!,#REF!), "")</f>
        <v/>
      </c>
      <c r="G114" s="22" t="s">
        <v>608</v>
      </c>
      <c r="H114" t="s">
        <v>593</v>
      </c>
      <c r="I114" s="24" t="s">
        <v>457</v>
      </c>
      <c r="J114" s="6" t="s">
        <v>374</v>
      </c>
      <c r="K114" s="6">
        <v>3</v>
      </c>
      <c r="P114" s="19"/>
    </row>
    <row r="115" spans="1:16">
      <c r="A115" s="2">
        <v>1</v>
      </c>
      <c r="B115" t="str">
        <f>IFERROR((_xlfn.XLOOKUP(A115,Diretriz!A:A,Diretriz!B:B)),"")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5" s="2" t="s">
        <v>5</v>
      </c>
      <c r="D115" t="str">
        <f>IFERROR((_xlfn.XLOOKUP(C115,Objetivo!C:C,Objetivo!D:D)), "")</f>
        <v>Aprimorar as ações de Vigilância em Saúde para promoção, prevenção e controle de doenças e agravos.</v>
      </c>
      <c r="E115" s="21" t="s">
        <v>52</v>
      </c>
      <c r="F115" s="20" t="str">
        <f>IFERROR(_xlfn.XLOOKUP(E115,#REF!,#REF!), "")</f>
        <v/>
      </c>
      <c r="G115" s="22" t="s">
        <v>609</v>
      </c>
      <c r="H115" t="s">
        <v>594</v>
      </c>
      <c r="I115" s="24" t="s">
        <v>571</v>
      </c>
      <c r="J115" s="6" t="s">
        <v>374</v>
      </c>
      <c r="K115" s="6">
        <v>8</v>
      </c>
      <c r="P115" s="19"/>
    </row>
    <row r="116" spans="1:16">
      <c r="A116" s="2">
        <v>1</v>
      </c>
      <c r="B116" t="str">
        <f>IFERROR((_xlfn.XLOOKUP(A116,Diretriz!A:A,Diretriz!B:B)),"")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6" s="2" t="s">
        <v>5</v>
      </c>
      <c r="D116" t="str">
        <f>IFERROR((_xlfn.XLOOKUP(C116,Objetivo!C:C,Objetivo!D:D)), "")</f>
        <v>Aprimorar as ações de Vigilância em Saúde para promoção, prevenção e controle de doenças e agravos.</v>
      </c>
      <c r="E116" s="21" t="s">
        <v>52</v>
      </c>
      <c r="F116" s="20" t="str">
        <f>IFERROR(_xlfn.XLOOKUP(E116,#REF!,#REF!), "")</f>
        <v/>
      </c>
      <c r="G116" s="22" t="s">
        <v>610</v>
      </c>
      <c r="H116" t="s">
        <v>595</v>
      </c>
      <c r="I116" s="24" t="s">
        <v>599</v>
      </c>
      <c r="J116" s="6" t="s">
        <v>374</v>
      </c>
      <c r="K116" s="6">
        <v>963</v>
      </c>
      <c r="P116" s="19"/>
    </row>
    <row r="117" spans="1:16">
      <c r="A117" s="2">
        <v>1</v>
      </c>
      <c r="B117" t="str">
        <f>IFERROR((_xlfn.XLOOKUP(A117,Diretriz!A:A,Diretriz!B:B)),"")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7" s="2" t="s">
        <v>5</v>
      </c>
      <c r="D117" t="str">
        <f>IFERROR((_xlfn.XLOOKUP(C117,Objetivo!C:C,Objetivo!D:D)), "")</f>
        <v>Aprimorar as ações de Vigilância em Saúde para promoção, prevenção e controle de doenças e agravos.</v>
      </c>
      <c r="E117" s="21" t="s">
        <v>52</v>
      </c>
      <c r="F117" s="20" t="str">
        <f>IFERROR(_xlfn.XLOOKUP(E117,#REF!,#REF!), "")</f>
        <v/>
      </c>
      <c r="G117" s="22" t="s">
        <v>611</v>
      </c>
      <c r="H117" t="s">
        <v>596</v>
      </c>
      <c r="I117" s="24" t="s">
        <v>599</v>
      </c>
      <c r="J117" s="6" t="s">
        <v>374</v>
      </c>
      <c r="K117" s="6">
        <v>163</v>
      </c>
      <c r="P117" s="19"/>
    </row>
    <row r="118" spans="1:16">
      <c r="A118" s="2">
        <v>1</v>
      </c>
      <c r="B118" t="str">
        <f>IFERROR((_xlfn.XLOOKUP(A118,Diretriz!A:A,Diretriz!B:B)),"")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8" s="2" t="s">
        <v>5</v>
      </c>
      <c r="D118" t="str">
        <f>IFERROR((_xlfn.XLOOKUP(C118,Objetivo!C:C,Objetivo!D:D)), "")</f>
        <v>Aprimorar as ações de Vigilância em Saúde para promoção, prevenção e controle de doenças e agravos.</v>
      </c>
      <c r="E118" s="21" t="s">
        <v>52</v>
      </c>
      <c r="F118" s="20" t="str">
        <f>IFERROR(_xlfn.XLOOKUP(E118,#REF!,#REF!), "")</f>
        <v/>
      </c>
      <c r="G118" s="22" t="s">
        <v>612</v>
      </c>
      <c r="H118" t="s">
        <v>597</v>
      </c>
      <c r="I118" s="24" t="s">
        <v>599</v>
      </c>
      <c r="J118" s="6" t="s">
        <v>374</v>
      </c>
      <c r="K118" s="6">
        <v>250</v>
      </c>
      <c r="P118" s="19"/>
    </row>
    <row r="119" spans="1:16">
      <c r="A119" s="2">
        <v>1</v>
      </c>
      <c r="B119" t="str">
        <f>IFERROR((_xlfn.XLOOKUP(A119,Diretriz!A:A,Diretriz!B:B)),"")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19" s="2" t="s">
        <v>5</v>
      </c>
      <c r="D119" t="str">
        <f>IFERROR((_xlfn.XLOOKUP(C119,Objetivo!C:C,Objetivo!D:D)), "")</f>
        <v>Aprimorar as ações de Vigilância em Saúde para promoção, prevenção e controle de doenças e agravos.</v>
      </c>
      <c r="E119" s="21" t="s">
        <v>53</v>
      </c>
      <c r="F119" s="20" t="str">
        <f>IFERROR(_xlfn.XLOOKUP(E119,#REF!,#REF!), "")</f>
        <v/>
      </c>
      <c r="G119" s="22" t="s">
        <v>186</v>
      </c>
      <c r="H119" t="s">
        <v>613</v>
      </c>
      <c r="I119" s="24" t="s">
        <v>457</v>
      </c>
      <c r="J119" s="6" t="s">
        <v>374</v>
      </c>
      <c r="K119" s="6">
        <v>12</v>
      </c>
      <c r="P119" s="19"/>
    </row>
    <row r="120" spans="1:16">
      <c r="A120" s="2">
        <v>1</v>
      </c>
      <c r="B120" t="str">
        <f>IFERROR((_xlfn.XLOOKUP(A120,Diretriz!A:A,Diretriz!B:B)),"")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0" s="2" t="s">
        <v>5</v>
      </c>
      <c r="D120" t="str">
        <f>IFERROR((_xlfn.XLOOKUP(C120,Objetivo!C:C,Objetivo!D:D)), "")</f>
        <v>Aprimorar as ações de Vigilância em Saúde para promoção, prevenção e controle de doenças e agravos.</v>
      </c>
      <c r="E120" s="21" t="s">
        <v>53</v>
      </c>
      <c r="F120" s="20" t="str">
        <f>IFERROR(_xlfn.XLOOKUP(E120,#REF!,#REF!), "")</f>
        <v/>
      </c>
      <c r="G120" s="22" t="s">
        <v>187</v>
      </c>
      <c r="H120" t="s">
        <v>614</v>
      </c>
      <c r="I120" s="24" t="s">
        <v>494</v>
      </c>
      <c r="J120" s="6" t="s">
        <v>374</v>
      </c>
      <c r="K120" s="6">
        <v>6</v>
      </c>
      <c r="P120" s="19"/>
    </row>
    <row r="121" spans="1:16">
      <c r="A121" s="2">
        <v>1</v>
      </c>
      <c r="B121" t="str">
        <f>IFERROR((_xlfn.XLOOKUP(A121,Diretriz!A:A,Diretriz!B:B)),"")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1" s="2" t="s">
        <v>5</v>
      </c>
      <c r="D121" t="str">
        <f>IFERROR((_xlfn.XLOOKUP(C121,Objetivo!C:C,Objetivo!D:D)), "")</f>
        <v>Aprimorar as ações de Vigilância em Saúde para promoção, prevenção e controle de doenças e agravos.</v>
      </c>
      <c r="E121" s="21" t="s">
        <v>53</v>
      </c>
      <c r="F121" s="20" t="str">
        <f>IFERROR(_xlfn.XLOOKUP(E121,#REF!,#REF!), "")</f>
        <v/>
      </c>
      <c r="G121" s="22" t="s">
        <v>188</v>
      </c>
      <c r="H121" t="s">
        <v>615</v>
      </c>
      <c r="I121" s="24" t="s">
        <v>458</v>
      </c>
      <c r="J121" s="6" t="s">
        <v>374</v>
      </c>
      <c r="K121" s="6">
        <v>2</v>
      </c>
      <c r="P121" s="19"/>
    </row>
    <row r="122" spans="1:16">
      <c r="A122" s="2">
        <v>1</v>
      </c>
      <c r="B122" t="str">
        <f>IFERROR((_xlfn.XLOOKUP(A122,Diretriz!A:A,Diretriz!B:B)),"")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2" s="2" t="s">
        <v>5</v>
      </c>
      <c r="D122" t="str">
        <f>IFERROR((_xlfn.XLOOKUP(C122,Objetivo!C:C,Objetivo!D:D)), "")</f>
        <v>Aprimorar as ações de Vigilância em Saúde para promoção, prevenção e controle de doenças e agravos.</v>
      </c>
      <c r="E122" s="21" t="s">
        <v>53</v>
      </c>
      <c r="F122" s="20" t="str">
        <f>IFERROR(_xlfn.XLOOKUP(E122,#REF!,#REF!), "")</f>
        <v/>
      </c>
      <c r="G122" s="22" t="s">
        <v>189</v>
      </c>
      <c r="H122" t="s">
        <v>616</v>
      </c>
      <c r="I122" s="24" t="s">
        <v>494</v>
      </c>
      <c r="J122" s="6" t="s">
        <v>374</v>
      </c>
      <c r="K122" s="6">
        <v>5</v>
      </c>
      <c r="P122" s="19"/>
    </row>
    <row r="123" spans="1:16">
      <c r="A123" s="2">
        <v>1</v>
      </c>
      <c r="B123" t="str">
        <f>IFERROR((_xlfn.XLOOKUP(A123,Diretriz!A:A,Diretriz!B:B)),"")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3" s="2" t="s">
        <v>5</v>
      </c>
      <c r="D123" t="str">
        <f>IFERROR((_xlfn.XLOOKUP(C123,Objetivo!C:C,Objetivo!D:D)), "")</f>
        <v>Aprimorar as ações de Vigilância em Saúde para promoção, prevenção e controle de doenças e agravos.</v>
      </c>
      <c r="E123" s="21" t="s">
        <v>53</v>
      </c>
      <c r="F123" s="20" t="str">
        <f>IFERROR(_xlfn.XLOOKUP(E123,#REF!,#REF!), "")</f>
        <v/>
      </c>
      <c r="G123" s="22" t="s">
        <v>190</v>
      </c>
      <c r="H123" t="s">
        <v>617</v>
      </c>
      <c r="I123" s="24" t="s">
        <v>494</v>
      </c>
      <c r="J123" s="6" t="s">
        <v>374</v>
      </c>
      <c r="K123" s="6">
        <v>1</v>
      </c>
      <c r="P123" s="19"/>
    </row>
    <row r="124" spans="1:16">
      <c r="A124" s="2">
        <v>1</v>
      </c>
      <c r="B124" t="str">
        <f>IFERROR((_xlfn.XLOOKUP(A124,Diretriz!A:A,Diretriz!B:B)),"")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4" s="2" t="s">
        <v>5</v>
      </c>
      <c r="D124" t="str">
        <f>IFERROR((_xlfn.XLOOKUP(C124,Objetivo!C:C,Objetivo!D:D)), "")</f>
        <v>Aprimorar as ações de Vigilância em Saúde para promoção, prevenção e controle de doenças e agravos.</v>
      </c>
      <c r="E124" s="21" t="s">
        <v>53</v>
      </c>
      <c r="F124" s="20" t="str">
        <f>IFERROR(_xlfn.XLOOKUP(E124,#REF!,#REF!), "")</f>
        <v/>
      </c>
      <c r="G124" s="22" t="s">
        <v>191</v>
      </c>
      <c r="H124" t="s">
        <v>618</v>
      </c>
      <c r="I124" s="24" t="s">
        <v>455</v>
      </c>
      <c r="J124" s="6" t="s">
        <v>374</v>
      </c>
      <c r="K124" s="6">
        <v>6</v>
      </c>
      <c r="P124" s="19"/>
    </row>
    <row r="125" spans="1:16">
      <c r="A125" s="2">
        <v>1</v>
      </c>
      <c r="B125" t="str">
        <f>IFERROR((_xlfn.XLOOKUP(A125,Diretriz!A:A,Diretriz!B:B)),"")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5" s="2" t="s">
        <v>6</v>
      </c>
      <c r="D125" t="str">
        <f>IFERROR((_xlfn.XLOOKUP(C125,Objetivo!C:C,Objetivo!D:D)), "")</f>
        <v>Garantir aos usuários do SUS acesso aos medicamentos contemplados nos Componentes Básico, Especializado, Estratégico da Assistência Farmacêutica e dos programas da SES/MA.</v>
      </c>
      <c r="E125" s="21" t="s">
        <v>53</v>
      </c>
      <c r="F125" s="20" t="str">
        <f>IFERROR(_xlfn.XLOOKUP(E125,#REF!,#REF!), "")</f>
        <v/>
      </c>
      <c r="G125" s="22" t="s">
        <v>192</v>
      </c>
      <c r="H125" t="s">
        <v>619</v>
      </c>
      <c r="I125" s="24" t="s">
        <v>457</v>
      </c>
      <c r="J125" s="6" t="s">
        <v>374</v>
      </c>
      <c r="K125" s="6">
        <v>3</v>
      </c>
      <c r="P125" s="19"/>
    </row>
    <row r="126" spans="1:16">
      <c r="A126" s="2">
        <v>1</v>
      </c>
      <c r="B126" t="str">
        <f>IFERROR((_xlfn.XLOOKUP(A126,Diretriz!A:A,Diretriz!B:B)),"")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6" s="2" t="s">
        <v>6</v>
      </c>
      <c r="D126" t="str">
        <f>IFERROR((_xlfn.XLOOKUP(C126,Objetivo!C:C,Objetivo!D:D)), "")</f>
        <v>Garantir aos usuários do SUS acesso aos medicamentos contemplados nos Componentes Básico, Especializado, Estratégico da Assistência Farmacêutica e dos programas da SES/MA.</v>
      </c>
      <c r="E126" s="21" t="s">
        <v>53</v>
      </c>
      <c r="F126" s="20" t="str">
        <f>IFERROR(_xlfn.XLOOKUP(E126,#REF!,#REF!), "")</f>
        <v/>
      </c>
      <c r="G126" s="22" t="s">
        <v>193</v>
      </c>
      <c r="H126" t="s">
        <v>620</v>
      </c>
      <c r="I126" s="24" t="s">
        <v>457</v>
      </c>
      <c r="J126" s="6" t="s">
        <v>374</v>
      </c>
      <c r="K126" s="6">
        <v>4</v>
      </c>
      <c r="P126" s="19"/>
    </row>
    <row r="127" spans="1:16">
      <c r="A127" s="2">
        <v>1</v>
      </c>
      <c r="B127" t="str">
        <f>IFERROR((_xlfn.XLOOKUP(A127,Diretriz!A:A,Diretriz!B:B)),"")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7" s="2" t="s">
        <v>6</v>
      </c>
      <c r="D127" t="str">
        <f>IFERROR((_xlfn.XLOOKUP(C127,Objetivo!C:C,Objetivo!D:D)), "")</f>
        <v>Garantir aos usuários do SUS acesso aos medicamentos contemplados nos Componentes Básico, Especializado, Estratégico da Assistência Farmacêutica e dos programas da SES/MA.</v>
      </c>
      <c r="E127" s="21" t="s">
        <v>54</v>
      </c>
      <c r="F127" s="20" t="str">
        <f>IFERROR(_xlfn.XLOOKUP(E127,#REF!,#REF!), "")</f>
        <v/>
      </c>
      <c r="G127" s="22" t="s">
        <v>194</v>
      </c>
      <c r="H127" t="s">
        <v>115</v>
      </c>
      <c r="I127" s="24" t="s">
        <v>600</v>
      </c>
      <c r="J127" s="6" t="s">
        <v>374</v>
      </c>
      <c r="K127" s="6">
        <v>350000</v>
      </c>
      <c r="P127" s="19"/>
    </row>
    <row r="128" spans="1:16">
      <c r="A128" s="2">
        <v>1</v>
      </c>
      <c r="B128" t="str">
        <f>IFERROR((_xlfn.XLOOKUP(A128,Diretriz!A:A,Diretriz!B:B)),"")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8" s="2" t="s">
        <v>6</v>
      </c>
      <c r="D128" t="str">
        <f>IFERROR((_xlfn.XLOOKUP(C128,Objetivo!C:C,Objetivo!D:D)), "")</f>
        <v>Garantir aos usuários do SUS acesso aos medicamentos contemplados nos Componentes Básico, Especializado, Estratégico da Assistência Farmacêutica e dos programas da SES/MA.</v>
      </c>
      <c r="E128" s="21" t="s">
        <v>55</v>
      </c>
      <c r="F128" s="20" t="str">
        <f>IFERROR(_xlfn.XLOOKUP(E128,#REF!,#REF!), "")</f>
        <v/>
      </c>
      <c r="G128" s="22" t="s">
        <v>195</v>
      </c>
      <c r="H128" t="s">
        <v>621</v>
      </c>
      <c r="I128" s="24" t="s">
        <v>600</v>
      </c>
      <c r="J128" s="6" t="s">
        <v>374</v>
      </c>
      <c r="K128" s="6">
        <v>11529</v>
      </c>
      <c r="P128" s="19"/>
    </row>
    <row r="129" spans="1:16">
      <c r="A129" s="2">
        <v>1</v>
      </c>
      <c r="B129" t="str">
        <f>IFERROR((_xlfn.XLOOKUP(A129,Diretriz!A:A,Diretriz!B:B)),"")</f>
        <v>Garantir o acesso da população às ações e serviços da saúde como direito fundamental ao atendimento das necessidades de saúde, mediante o aprimoramento da política de atenção primária, vigilância em saúde e garantindo o acesso a medicamentos e insumos estratégicos no âmbito do SUS.</v>
      </c>
      <c r="C129" s="2" t="s">
        <v>6</v>
      </c>
      <c r="D129" t="str">
        <f>IFERROR((_xlfn.XLOOKUP(C129,Objetivo!C:C,Objetivo!D:D)), "")</f>
        <v>Garantir aos usuários do SUS acesso aos medicamentos contemplados nos Componentes Básico, Especializado, Estratégico da Assistência Farmacêutica e dos programas da SES/MA.</v>
      </c>
      <c r="E129" s="21" t="s">
        <v>56</v>
      </c>
      <c r="F129" s="20" t="str">
        <f>IFERROR(_xlfn.XLOOKUP(E129,#REF!,#REF!), "")</f>
        <v/>
      </c>
      <c r="G129" s="22" t="s">
        <v>196</v>
      </c>
      <c r="H129" t="s">
        <v>622</v>
      </c>
      <c r="I129" s="24" t="s">
        <v>623</v>
      </c>
      <c r="J129" s="6" t="s">
        <v>374</v>
      </c>
      <c r="K129" s="6">
        <v>2</v>
      </c>
      <c r="P129" s="19"/>
    </row>
    <row r="130" spans="1:16">
      <c r="A130" s="2">
        <v>2</v>
      </c>
      <c r="B130" t="str">
        <f>IFERROR((_xlfn.XLOOKUP(A130,Diretriz!A:A,Diretriz!B:B)),"")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0" s="2" t="s">
        <v>7</v>
      </c>
      <c r="D130" t="str">
        <f>IFERROR((_xlfn.XLOOKUP(C130,Objetivo!C:C,Objetivo!D:D)), "")</f>
        <v>Garantir a integralidade da assistência dos serviços de média e alta complexidade aos usuários do SUS, por meio do fortalecimento das redes de atenção à saúde.</v>
      </c>
      <c r="E130" s="21" t="s">
        <v>57</v>
      </c>
      <c r="F130" s="20" t="str">
        <f>IFERROR(_xlfn.XLOOKUP(E130,#REF!,#REF!), "")</f>
        <v/>
      </c>
      <c r="G130" s="22" t="s">
        <v>197</v>
      </c>
      <c r="H130" t="s">
        <v>624</v>
      </c>
      <c r="I130" s="24" t="s">
        <v>625</v>
      </c>
      <c r="J130" s="6" t="s">
        <v>374</v>
      </c>
      <c r="K130" s="6">
        <v>114487</v>
      </c>
      <c r="P130" s="19"/>
    </row>
    <row r="131" spans="1:16">
      <c r="A131" s="2">
        <v>2</v>
      </c>
      <c r="B131" t="str">
        <f>IFERROR((_xlfn.XLOOKUP(A131,Diretriz!A:A,Diretriz!B:B)),"")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1" s="2" t="s">
        <v>7</v>
      </c>
      <c r="D131" t="str">
        <f>IFERROR((_xlfn.XLOOKUP(C131,Objetivo!C:C,Objetivo!D:D)), "")</f>
        <v>Garantir a integralidade da assistência dos serviços de média e alta complexidade aos usuários do SUS, por meio do fortalecimento das redes de atenção à saúde.</v>
      </c>
      <c r="E131" s="21" t="s">
        <v>58</v>
      </c>
      <c r="F131" s="20" t="str">
        <f>IFERROR(_xlfn.XLOOKUP(E131,#REF!,#REF!), "")</f>
        <v/>
      </c>
      <c r="G131" s="22" t="s">
        <v>198</v>
      </c>
      <c r="H131" t="s">
        <v>626</v>
      </c>
      <c r="I131" s="24" t="s">
        <v>673</v>
      </c>
      <c r="J131" s="6" t="s">
        <v>374</v>
      </c>
      <c r="K131" s="6">
        <v>3000</v>
      </c>
      <c r="P131" s="19"/>
    </row>
    <row r="132" spans="1:16">
      <c r="A132" s="2">
        <v>2</v>
      </c>
      <c r="B132" t="str">
        <f>IFERROR((_xlfn.XLOOKUP(A132,Diretriz!A:A,Diretriz!B:B)),"")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2" s="2" t="s">
        <v>7</v>
      </c>
      <c r="D132" t="str">
        <f>IFERROR((_xlfn.XLOOKUP(C132,Objetivo!C:C,Objetivo!D:D)), "")</f>
        <v>Garantir a integralidade da assistência dos serviços de média e alta complexidade aos usuários do SUS, por meio do fortalecimento das redes de atenção à saúde.</v>
      </c>
      <c r="E132" s="21" t="s">
        <v>58</v>
      </c>
      <c r="F132" s="20" t="str">
        <f>IFERROR(_xlfn.XLOOKUP(E132,#REF!,#REF!), "")</f>
        <v/>
      </c>
      <c r="G132" s="22" t="s">
        <v>199</v>
      </c>
      <c r="H132" t="s">
        <v>627</v>
      </c>
      <c r="I132" s="24" t="s">
        <v>673</v>
      </c>
      <c r="J132" s="6" t="s">
        <v>374</v>
      </c>
      <c r="K132" s="6">
        <v>6500</v>
      </c>
      <c r="P132" s="19"/>
    </row>
    <row r="133" spans="1:16">
      <c r="A133" s="2">
        <v>2</v>
      </c>
      <c r="B133" t="str">
        <f>IFERROR((_xlfn.XLOOKUP(A133,Diretriz!A:A,Diretriz!B:B)),"")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3" s="2" t="s">
        <v>7</v>
      </c>
      <c r="D133" t="str">
        <f>IFERROR((_xlfn.XLOOKUP(C133,Objetivo!C:C,Objetivo!D:D)), "")</f>
        <v>Garantir a integralidade da assistência dos serviços de média e alta complexidade aos usuários do SUS, por meio do fortalecimento das redes de atenção à saúde.</v>
      </c>
      <c r="E133" s="21" t="s">
        <v>58</v>
      </c>
      <c r="F133" s="20" t="str">
        <f>IFERROR(_xlfn.XLOOKUP(E133,#REF!,#REF!), "")</f>
        <v/>
      </c>
      <c r="G133" s="22" t="s">
        <v>200</v>
      </c>
      <c r="H133" t="s">
        <v>628</v>
      </c>
      <c r="I133" s="24" t="s">
        <v>673</v>
      </c>
      <c r="J133" s="6" t="s">
        <v>374</v>
      </c>
      <c r="K133" s="6">
        <v>3900</v>
      </c>
      <c r="P133" s="19"/>
    </row>
    <row r="134" spans="1:16">
      <c r="A134" s="2">
        <v>2</v>
      </c>
      <c r="B134" t="str">
        <f>IFERROR((_xlfn.XLOOKUP(A134,Diretriz!A:A,Diretriz!B:B)),"")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4" s="2" t="s">
        <v>7</v>
      </c>
      <c r="D134" t="str">
        <f>IFERROR((_xlfn.XLOOKUP(C134,Objetivo!C:C,Objetivo!D:D)), "")</f>
        <v>Garantir a integralidade da assistência dos serviços de média e alta complexidade aos usuários do SUS, por meio do fortalecimento das redes de atenção à saúde.</v>
      </c>
      <c r="E134" s="21" t="s">
        <v>58</v>
      </c>
      <c r="F134" s="20" t="str">
        <f>IFERROR(_xlfn.XLOOKUP(E134,#REF!,#REF!), "")</f>
        <v/>
      </c>
      <c r="G134" s="22" t="s">
        <v>201</v>
      </c>
      <c r="H134" t="s">
        <v>629</v>
      </c>
      <c r="I134" s="24" t="s">
        <v>674</v>
      </c>
      <c r="J134" s="6" t="s">
        <v>374</v>
      </c>
      <c r="K134" s="6">
        <v>1</v>
      </c>
      <c r="P134" s="19"/>
    </row>
    <row r="135" spans="1:16">
      <c r="A135" s="2">
        <v>2</v>
      </c>
      <c r="B135" t="str">
        <f>IFERROR((_xlfn.XLOOKUP(A135,Diretriz!A:A,Diretriz!B:B)),"")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5" s="2" t="s">
        <v>7</v>
      </c>
      <c r="D135" t="str">
        <f>IFERROR((_xlfn.XLOOKUP(C135,Objetivo!C:C,Objetivo!D:D)), "")</f>
        <v>Garantir a integralidade da assistência dos serviços de média e alta complexidade aos usuários do SUS, por meio do fortalecimento das redes de atenção à saúde.</v>
      </c>
      <c r="E135" s="21" t="s">
        <v>58</v>
      </c>
      <c r="F135" s="20" t="str">
        <f>IFERROR(_xlfn.XLOOKUP(E135,#REF!,#REF!), "")</f>
        <v/>
      </c>
      <c r="G135" s="22" t="s">
        <v>202</v>
      </c>
      <c r="H135" t="s">
        <v>630</v>
      </c>
      <c r="I135" s="24" t="s">
        <v>675</v>
      </c>
      <c r="J135" s="6" t="s">
        <v>374</v>
      </c>
      <c r="K135" s="6">
        <v>4</v>
      </c>
      <c r="P135" s="19"/>
    </row>
    <row r="136" spans="1:16">
      <c r="A136" s="2">
        <v>2</v>
      </c>
      <c r="B136" t="str">
        <f>IFERROR((_xlfn.XLOOKUP(A136,Diretriz!A:A,Diretriz!B:B)),"")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6" s="2" t="s">
        <v>7</v>
      </c>
      <c r="D136" t="str">
        <f>IFERROR((_xlfn.XLOOKUP(C136,Objetivo!C:C,Objetivo!D:D)), "")</f>
        <v>Garantir a integralidade da assistência dos serviços de média e alta complexidade aos usuários do SUS, por meio do fortalecimento das redes de atenção à saúde.</v>
      </c>
      <c r="E136" s="21" t="s">
        <v>58</v>
      </c>
      <c r="F136" s="20" t="str">
        <f>IFERROR(_xlfn.XLOOKUP(E136,#REF!,#REF!), "")</f>
        <v/>
      </c>
      <c r="G136" s="22" t="s">
        <v>203</v>
      </c>
      <c r="H136" t="s">
        <v>631</v>
      </c>
      <c r="I136" s="24" t="s">
        <v>675</v>
      </c>
      <c r="J136" s="6" t="s">
        <v>374</v>
      </c>
      <c r="K136" s="6">
        <v>4</v>
      </c>
      <c r="P136" s="19"/>
    </row>
    <row r="137" spans="1:16">
      <c r="A137" s="2">
        <v>2</v>
      </c>
      <c r="B137" t="str">
        <f>IFERROR((_xlfn.XLOOKUP(A137,Diretriz!A:A,Diretriz!B:B)),"")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7" s="2" t="s">
        <v>7</v>
      </c>
      <c r="D137" t="str">
        <f>IFERROR((_xlfn.XLOOKUP(C137,Objetivo!C:C,Objetivo!D:D)), "")</f>
        <v>Garantir a integralidade da assistência dos serviços de média e alta complexidade aos usuários do SUS, por meio do fortalecimento das redes de atenção à saúde.</v>
      </c>
      <c r="E137" s="21" t="s">
        <v>58</v>
      </c>
      <c r="F137" s="20" t="str">
        <f>IFERROR(_xlfn.XLOOKUP(E137,#REF!,#REF!), "")</f>
        <v/>
      </c>
      <c r="G137" s="22" t="s">
        <v>204</v>
      </c>
      <c r="H137" t="s">
        <v>632</v>
      </c>
      <c r="I137" s="24" t="s">
        <v>675</v>
      </c>
      <c r="J137" s="6" t="s">
        <v>374</v>
      </c>
      <c r="K137" s="6">
        <v>4</v>
      </c>
      <c r="P137" s="19"/>
    </row>
    <row r="138" spans="1:16">
      <c r="A138" s="2">
        <v>2</v>
      </c>
      <c r="B138" t="str">
        <f>IFERROR((_xlfn.XLOOKUP(A138,Diretriz!A:A,Diretriz!B:B)),"")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8" s="2" t="s">
        <v>7</v>
      </c>
      <c r="D138" t="str">
        <f>IFERROR((_xlfn.XLOOKUP(C138,Objetivo!C:C,Objetivo!D:D)), "")</f>
        <v>Garantir a integralidade da assistência dos serviços de média e alta complexidade aos usuários do SUS, por meio do fortalecimento das redes de atenção à saúde.</v>
      </c>
      <c r="E138" s="21" t="s">
        <v>58</v>
      </c>
      <c r="F138" s="20" t="str">
        <f>IFERROR(_xlfn.XLOOKUP(E138,#REF!,#REF!), "")</f>
        <v/>
      </c>
      <c r="G138" s="22" t="s">
        <v>205</v>
      </c>
      <c r="H138" t="s">
        <v>633</v>
      </c>
      <c r="I138" s="24" t="s">
        <v>305</v>
      </c>
      <c r="J138" s="6" t="s">
        <v>374</v>
      </c>
      <c r="K138" s="6">
        <v>1</v>
      </c>
      <c r="P138" s="19"/>
    </row>
    <row r="139" spans="1:16">
      <c r="A139" s="2">
        <v>2</v>
      </c>
      <c r="B139" t="str">
        <f>IFERROR((_xlfn.XLOOKUP(A139,Diretriz!A:A,Diretriz!B:B)),"")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39" s="2" t="s">
        <v>7</v>
      </c>
      <c r="D139" t="str">
        <f>IFERROR((_xlfn.XLOOKUP(C139,Objetivo!C:C,Objetivo!D:D)), "")</f>
        <v>Garantir a integralidade da assistência dos serviços de média e alta complexidade aos usuários do SUS, por meio do fortalecimento das redes de atenção à saúde.</v>
      </c>
      <c r="E139" s="21" t="s">
        <v>58</v>
      </c>
      <c r="F139" s="20" t="str">
        <f>IFERROR(_xlfn.XLOOKUP(E139,#REF!,#REF!), "")</f>
        <v/>
      </c>
      <c r="G139" s="22" t="s">
        <v>206</v>
      </c>
      <c r="H139" t="s">
        <v>634</v>
      </c>
      <c r="I139" s="24" t="s">
        <v>676</v>
      </c>
      <c r="J139" s="6" t="s">
        <v>374</v>
      </c>
      <c r="K139" s="6">
        <v>11</v>
      </c>
      <c r="P139" s="19"/>
    </row>
    <row r="140" spans="1:16">
      <c r="A140" s="2">
        <v>2</v>
      </c>
      <c r="B140" t="str">
        <f>IFERROR((_xlfn.XLOOKUP(A140,Diretriz!A:A,Diretriz!B:B)),"")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0" s="2" t="s">
        <v>7</v>
      </c>
      <c r="D140" t="str">
        <f>IFERROR((_xlfn.XLOOKUP(C140,Objetivo!C:C,Objetivo!D:D)), "")</f>
        <v>Garantir a integralidade da assistência dos serviços de média e alta complexidade aos usuários do SUS, por meio do fortalecimento das redes de atenção à saúde.</v>
      </c>
      <c r="E140" s="21" t="s">
        <v>58</v>
      </c>
      <c r="F140" s="20" t="str">
        <f>IFERROR(_xlfn.XLOOKUP(E140,#REF!,#REF!), "")</f>
        <v/>
      </c>
      <c r="G140" s="22" t="s">
        <v>207</v>
      </c>
      <c r="H140" t="s">
        <v>635</v>
      </c>
      <c r="I140" s="24" t="s">
        <v>677</v>
      </c>
      <c r="J140" s="6" t="s">
        <v>374</v>
      </c>
      <c r="K140" s="6">
        <v>1</v>
      </c>
      <c r="P140" s="19"/>
    </row>
    <row r="141" spans="1:16">
      <c r="A141" s="2">
        <v>2</v>
      </c>
      <c r="B141" t="str">
        <f>IFERROR((_xlfn.XLOOKUP(A141,Diretriz!A:A,Diretriz!B:B)),"")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1" s="2" t="s">
        <v>7</v>
      </c>
      <c r="D141" t="str">
        <f>IFERROR((_xlfn.XLOOKUP(C141,Objetivo!C:C,Objetivo!D:D)), "")</f>
        <v>Garantir a integralidade da assistência dos serviços de média e alta complexidade aos usuários do SUS, por meio do fortalecimento das redes de atenção à saúde.</v>
      </c>
      <c r="E141" s="21" t="s">
        <v>58</v>
      </c>
      <c r="F141" s="20" t="str">
        <f>IFERROR(_xlfn.XLOOKUP(E141,#REF!,#REF!), "")</f>
        <v/>
      </c>
      <c r="G141" s="22" t="s">
        <v>208</v>
      </c>
      <c r="H141" t="s">
        <v>636</v>
      </c>
      <c r="I141" s="24" t="s">
        <v>677</v>
      </c>
      <c r="J141" s="6" t="s">
        <v>374</v>
      </c>
      <c r="K141" s="6">
        <v>1</v>
      </c>
      <c r="P141" s="19"/>
    </row>
    <row r="142" spans="1:16">
      <c r="A142" s="2">
        <v>2</v>
      </c>
      <c r="B142" t="str">
        <f>IFERROR((_xlfn.XLOOKUP(A142,Diretriz!A:A,Diretriz!B:B)),"")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2" s="2" t="s">
        <v>7</v>
      </c>
      <c r="D142" t="str">
        <f>IFERROR((_xlfn.XLOOKUP(C142,Objetivo!C:C,Objetivo!D:D)), "")</f>
        <v>Garantir a integralidade da assistência dos serviços de média e alta complexidade aos usuários do SUS, por meio do fortalecimento das redes de atenção à saúde.</v>
      </c>
      <c r="E142" s="21" t="s">
        <v>58</v>
      </c>
      <c r="F142" s="20" t="str">
        <f>IFERROR(_xlfn.XLOOKUP(E142,#REF!,#REF!), "")</f>
        <v/>
      </c>
      <c r="G142" s="22" t="s">
        <v>209</v>
      </c>
      <c r="H142" t="s">
        <v>637</v>
      </c>
      <c r="I142" s="24" t="s">
        <v>678</v>
      </c>
      <c r="J142" s="6" t="s">
        <v>374</v>
      </c>
      <c r="K142" s="6">
        <v>3</v>
      </c>
      <c r="P142" s="19"/>
    </row>
    <row r="143" spans="1:16">
      <c r="A143" s="2">
        <v>2</v>
      </c>
      <c r="B143" t="str">
        <f>IFERROR((_xlfn.XLOOKUP(A143,Diretriz!A:A,Diretriz!B:B)),"")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3" s="2" t="s">
        <v>7</v>
      </c>
      <c r="D143" t="str">
        <f>IFERROR((_xlfn.XLOOKUP(C143,Objetivo!C:C,Objetivo!D:D)), "")</f>
        <v>Garantir a integralidade da assistência dos serviços de média e alta complexidade aos usuários do SUS, por meio do fortalecimento das redes de atenção à saúde.</v>
      </c>
      <c r="E143" s="21" t="s">
        <v>58</v>
      </c>
      <c r="F143" s="20" t="str">
        <f>IFERROR(_xlfn.XLOOKUP(E143,#REF!,#REF!), "")</f>
        <v/>
      </c>
      <c r="G143" s="22" t="s">
        <v>210</v>
      </c>
      <c r="H143" t="s">
        <v>638</v>
      </c>
      <c r="I143" s="24" t="s">
        <v>679</v>
      </c>
      <c r="J143" s="6" t="s">
        <v>374</v>
      </c>
      <c r="K143" s="6">
        <v>1200</v>
      </c>
      <c r="P143" s="19"/>
    </row>
    <row r="144" spans="1:16">
      <c r="A144" s="2">
        <v>2</v>
      </c>
      <c r="B144" t="str">
        <f>IFERROR((_xlfn.XLOOKUP(A144,Diretriz!A:A,Diretriz!B:B)),"")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4" s="2" t="s">
        <v>7</v>
      </c>
      <c r="D144" t="str">
        <f>IFERROR((_xlfn.XLOOKUP(C144,Objetivo!C:C,Objetivo!D:D)), "")</f>
        <v>Garantir a integralidade da assistência dos serviços de média e alta complexidade aos usuários do SUS, por meio do fortalecimento das redes de atenção à saúde.</v>
      </c>
      <c r="E144" s="21" t="s">
        <v>58</v>
      </c>
      <c r="F144" s="20" t="str">
        <f>IFERROR(_xlfn.XLOOKUP(E144,#REF!,#REF!), "")</f>
        <v/>
      </c>
      <c r="G144" s="22" t="s">
        <v>211</v>
      </c>
      <c r="H144" t="s">
        <v>639</v>
      </c>
      <c r="I144" s="24" t="s">
        <v>680</v>
      </c>
      <c r="J144" s="6" t="s">
        <v>374</v>
      </c>
      <c r="K144" s="6">
        <v>2</v>
      </c>
      <c r="P144" s="19"/>
    </row>
    <row r="145" spans="1:16">
      <c r="A145" s="2">
        <v>2</v>
      </c>
      <c r="B145" t="str">
        <f>IFERROR((_xlfn.XLOOKUP(A145,Diretriz!A:A,Diretriz!B:B)),"")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5" s="2" t="s">
        <v>7</v>
      </c>
      <c r="D145" t="str">
        <f>IFERROR((_xlfn.XLOOKUP(C145,Objetivo!C:C,Objetivo!D:D)), "")</f>
        <v>Garantir a integralidade da assistência dos serviços de média e alta complexidade aos usuários do SUS, por meio do fortalecimento das redes de atenção à saúde.</v>
      </c>
      <c r="E145" s="21" t="s">
        <v>58</v>
      </c>
      <c r="F145" s="20" t="str">
        <f>IFERROR(_xlfn.XLOOKUP(E145,#REF!,#REF!), "")</f>
        <v/>
      </c>
      <c r="G145" s="22" t="s">
        <v>212</v>
      </c>
      <c r="H145" t="s">
        <v>640</v>
      </c>
      <c r="I145" s="24" t="s">
        <v>677</v>
      </c>
      <c r="J145" s="6" t="s">
        <v>374</v>
      </c>
      <c r="K145" s="6">
        <v>1</v>
      </c>
      <c r="P145" s="19"/>
    </row>
    <row r="146" spans="1:16">
      <c r="A146" s="2">
        <v>2</v>
      </c>
      <c r="B146" t="str">
        <f>IFERROR((_xlfn.XLOOKUP(A146,Diretriz!A:A,Diretriz!B:B)),"")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6" s="2" t="s">
        <v>7</v>
      </c>
      <c r="D146" t="str">
        <f>IFERROR((_xlfn.XLOOKUP(C146,Objetivo!C:C,Objetivo!D:D)), "")</f>
        <v>Garantir a integralidade da assistência dos serviços de média e alta complexidade aos usuários do SUS, por meio do fortalecimento das redes de atenção à saúde.</v>
      </c>
      <c r="E146" s="21" t="s">
        <v>58</v>
      </c>
      <c r="F146" s="20" t="str">
        <f>IFERROR(_xlfn.XLOOKUP(E146,#REF!,#REF!), "")</f>
        <v/>
      </c>
      <c r="G146" s="22" t="s">
        <v>213</v>
      </c>
      <c r="H146" t="s">
        <v>641</v>
      </c>
      <c r="I146" s="24" t="s">
        <v>681</v>
      </c>
      <c r="J146" s="6" t="s">
        <v>374</v>
      </c>
      <c r="K146" s="6">
        <v>1</v>
      </c>
      <c r="P146" s="19"/>
    </row>
    <row r="147" spans="1:16">
      <c r="A147" s="2">
        <v>2</v>
      </c>
      <c r="B147" t="str">
        <f>IFERROR((_xlfn.XLOOKUP(A147,Diretriz!A:A,Diretriz!B:B)),"")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7" s="2" t="s">
        <v>7</v>
      </c>
      <c r="D147" t="str">
        <f>IFERROR((_xlfn.XLOOKUP(C147,Objetivo!C:C,Objetivo!D:D)), "")</f>
        <v>Garantir a integralidade da assistência dos serviços de média e alta complexidade aos usuários do SUS, por meio do fortalecimento das redes de atenção à saúde.</v>
      </c>
      <c r="E147" s="21" t="s">
        <v>58</v>
      </c>
      <c r="F147" s="20" t="str">
        <f>IFERROR(_xlfn.XLOOKUP(E147,#REF!,#REF!), "")</f>
        <v/>
      </c>
      <c r="G147" s="22" t="s">
        <v>214</v>
      </c>
      <c r="H147" t="s">
        <v>642</v>
      </c>
      <c r="I147" s="24" t="s">
        <v>682</v>
      </c>
      <c r="J147" s="6" t="s">
        <v>374</v>
      </c>
      <c r="K147" s="6">
        <v>3</v>
      </c>
      <c r="P147" s="19"/>
    </row>
    <row r="148" spans="1:16">
      <c r="A148" s="2">
        <v>2</v>
      </c>
      <c r="B148" t="str">
        <f>IFERROR((_xlfn.XLOOKUP(A148,Diretriz!A:A,Diretriz!B:B)),"")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8" s="2" t="s">
        <v>7</v>
      </c>
      <c r="D148" t="str">
        <f>IFERROR((_xlfn.XLOOKUP(C148,Objetivo!C:C,Objetivo!D:D)), "")</f>
        <v>Garantir a integralidade da assistência dos serviços de média e alta complexidade aos usuários do SUS, por meio do fortalecimento das redes de atenção à saúde.</v>
      </c>
      <c r="E148" s="21" t="s">
        <v>58</v>
      </c>
      <c r="F148" s="20" t="str">
        <f>IFERROR(_xlfn.XLOOKUP(E148,#REF!,#REF!), "")</f>
        <v/>
      </c>
      <c r="G148" s="22" t="s">
        <v>215</v>
      </c>
      <c r="H148" t="s">
        <v>643</v>
      </c>
      <c r="I148" s="24" t="s">
        <v>683</v>
      </c>
      <c r="J148" s="6" t="s">
        <v>374</v>
      </c>
      <c r="K148" s="6">
        <v>3</v>
      </c>
      <c r="P148" s="19"/>
    </row>
    <row r="149" spans="1:16">
      <c r="A149" s="2">
        <v>2</v>
      </c>
      <c r="B149" t="str">
        <f>IFERROR((_xlfn.XLOOKUP(A149,Diretriz!A:A,Diretriz!B:B)),"")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49" s="2" t="s">
        <v>7</v>
      </c>
      <c r="D149" t="str">
        <f>IFERROR((_xlfn.XLOOKUP(C149,Objetivo!C:C,Objetivo!D:D)), "")</f>
        <v>Garantir a integralidade da assistência dos serviços de média e alta complexidade aos usuários do SUS, por meio do fortalecimento das redes de atenção à saúde.</v>
      </c>
      <c r="E149" s="21" t="s">
        <v>58</v>
      </c>
      <c r="F149" s="20" t="str">
        <f>IFERROR(_xlfn.XLOOKUP(E149,#REF!,#REF!), "")</f>
        <v/>
      </c>
      <c r="G149" s="22" t="s">
        <v>216</v>
      </c>
      <c r="H149" t="s">
        <v>644</v>
      </c>
      <c r="I149" s="24" t="s">
        <v>308</v>
      </c>
      <c r="J149" s="6" t="s">
        <v>374</v>
      </c>
      <c r="K149" s="6">
        <v>1</v>
      </c>
      <c r="P149" s="19"/>
    </row>
    <row r="150" spans="1:16">
      <c r="A150" s="2">
        <v>2</v>
      </c>
      <c r="B150" t="str">
        <f>IFERROR((_xlfn.XLOOKUP(A150,Diretriz!A:A,Diretriz!B:B)),"")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0" s="2" t="s">
        <v>7</v>
      </c>
      <c r="D150" t="str">
        <f>IFERROR((_xlfn.XLOOKUP(C150,Objetivo!C:C,Objetivo!D:D)), "")</f>
        <v>Garantir a integralidade da assistência dos serviços de média e alta complexidade aos usuários do SUS, por meio do fortalecimento das redes de atenção à saúde.</v>
      </c>
      <c r="E150" s="21" t="s">
        <v>58</v>
      </c>
      <c r="F150" s="20" t="str">
        <f>IFERROR(_xlfn.XLOOKUP(E150,#REF!,#REF!), "")</f>
        <v/>
      </c>
      <c r="G150" s="22" t="s">
        <v>659</v>
      </c>
      <c r="H150" t="s">
        <v>645</v>
      </c>
      <c r="I150" s="24" t="s">
        <v>684</v>
      </c>
      <c r="J150" s="6" t="s">
        <v>374</v>
      </c>
      <c r="K150" s="6">
        <v>858</v>
      </c>
      <c r="P150" s="19"/>
    </row>
    <row r="151" spans="1:16">
      <c r="A151" s="2">
        <v>2</v>
      </c>
      <c r="B151" t="str">
        <f>IFERROR((_xlfn.XLOOKUP(A151,Diretriz!A:A,Diretriz!B:B)),"")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1" s="2" t="s">
        <v>7</v>
      </c>
      <c r="D151" t="str">
        <f>IFERROR((_xlfn.XLOOKUP(C151,Objetivo!C:C,Objetivo!D:D)), "")</f>
        <v>Garantir a integralidade da assistência dos serviços de média e alta complexidade aos usuários do SUS, por meio do fortalecimento das redes de atenção à saúde.</v>
      </c>
      <c r="E151" s="21" t="s">
        <v>58</v>
      </c>
      <c r="F151" s="20" t="str">
        <f>IFERROR(_xlfn.XLOOKUP(E151,#REF!,#REF!), "")</f>
        <v/>
      </c>
      <c r="G151" s="22" t="s">
        <v>660</v>
      </c>
      <c r="H151" t="s">
        <v>646</v>
      </c>
      <c r="I151" s="24" t="s">
        <v>685</v>
      </c>
      <c r="J151" s="6" t="s">
        <v>374</v>
      </c>
      <c r="K151" s="6">
        <v>1</v>
      </c>
      <c r="P151" s="19"/>
    </row>
    <row r="152" spans="1:16">
      <c r="A152" s="2">
        <v>2</v>
      </c>
      <c r="B152" t="str">
        <f>IFERROR((_xlfn.XLOOKUP(A152,Diretriz!A:A,Diretriz!B:B)),"")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2" s="2" t="s">
        <v>7</v>
      </c>
      <c r="D152" t="str">
        <f>IFERROR((_xlfn.XLOOKUP(C152,Objetivo!C:C,Objetivo!D:D)), "")</f>
        <v>Garantir a integralidade da assistência dos serviços de média e alta complexidade aos usuários do SUS, por meio do fortalecimento das redes de atenção à saúde.</v>
      </c>
      <c r="E152" s="21" t="s">
        <v>58</v>
      </c>
      <c r="F152" s="20" t="str">
        <f>IFERROR(_xlfn.XLOOKUP(E152,#REF!,#REF!), "")</f>
        <v/>
      </c>
      <c r="G152" s="22" t="s">
        <v>661</v>
      </c>
      <c r="H152" t="s">
        <v>647</v>
      </c>
      <c r="I152" s="24" t="s">
        <v>304</v>
      </c>
      <c r="J152" s="6" t="s">
        <v>374</v>
      </c>
      <c r="K152" s="6">
        <v>1</v>
      </c>
      <c r="P152" s="19"/>
    </row>
    <row r="153" spans="1:16">
      <c r="A153" s="2">
        <v>2</v>
      </c>
      <c r="B153" t="str">
        <f>IFERROR((_xlfn.XLOOKUP(A153,Diretriz!A:A,Diretriz!B:B)),"")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3" s="2" t="s">
        <v>7</v>
      </c>
      <c r="D153" t="str">
        <f>IFERROR((_xlfn.XLOOKUP(C153,Objetivo!C:C,Objetivo!D:D)), "")</f>
        <v>Garantir a integralidade da assistência dos serviços de média e alta complexidade aos usuários do SUS, por meio do fortalecimento das redes de atenção à saúde.</v>
      </c>
      <c r="E153" s="21" t="s">
        <v>58</v>
      </c>
      <c r="F153" s="20" t="str">
        <f>IFERROR(_xlfn.XLOOKUP(E153,#REF!,#REF!), "")</f>
        <v/>
      </c>
      <c r="G153" s="22" t="s">
        <v>662</v>
      </c>
      <c r="H153" t="s">
        <v>648</v>
      </c>
      <c r="I153" s="24" t="s">
        <v>304</v>
      </c>
      <c r="J153" s="6" t="s">
        <v>374</v>
      </c>
      <c r="K153" s="6">
        <v>1</v>
      </c>
      <c r="P153" s="19"/>
    </row>
    <row r="154" spans="1:16">
      <c r="A154" s="2">
        <v>2</v>
      </c>
      <c r="B154" t="str">
        <f>IFERROR((_xlfn.XLOOKUP(A154,Diretriz!A:A,Diretriz!B:B)),"")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4" s="2" t="s">
        <v>7</v>
      </c>
      <c r="D154" t="str">
        <f>IFERROR((_xlfn.XLOOKUP(C154,Objetivo!C:C,Objetivo!D:D)), "")</f>
        <v>Garantir a integralidade da assistência dos serviços de média e alta complexidade aos usuários do SUS, por meio do fortalecimento das redes de atenção à saúde.</v>
      </c>
      <c r="E154" s="21" t="s">
        <v>58</v>
      </c>
      <c r="F154" s="20" t="str">
        <f>IFERROR(_xlfn.XLOOKUP(E154,#REF!,#REF!), "")</f>
        <v/>
      </c>
      <c r="G154" s="22" t="s">
        <v>663</v>
      </c>
      <c r="H154" t="s">
        <v>649</v>
      </c>
      <c r="I154" s="24" t="s">
        <v>686</v>
      </c>
      <c r="J154" s="6" t="s">
        <v>374</v>
      </c>
      <c r="K154" s="6">
        <v>1</v>
      </c>
      <c r="P154" s="19"/>
    </row>
    <row r="155" spans="1:16">
      <c r="A155" s="2">
        <v>2</v>
      </c>
      <c r="B155" t="str">
        <f>IFERROR((_xlfn.XLOOKUP(A155,Diretriz!A:A,Diretriz!B:B)),"")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5" s="2" t="s">
        <v>7</v>
      </c>
      <c r="D155" t="str">
        <f>IFERROR((_xlfn.XLOOKUP(C155,Objetivo!C:C,Objetivo!D:D)), "")</f>
        <v>Garantir a integralidade da assistência dos serviços de média e alta complexidade aos usuários do SUS, por meio do fortalecimento das redes de atenção à saúde.</v>
      </c>
      <c r="E155" s="21" t="s">
        <v>58</v>
      </c>
      <c r="F155" s="20" t="str">
        <f>IFERROR(_xlfn.XLOOKUP(E155,#REF!,#REF!), "")</f>
        <v/>
      </c>
      <c r="G155" s="22" t="s">
        <v>664</v>
      </c>
      <c r="H155" t="s">
        <v>650</v>
      </c>
      <c r="I155" s="24" t="s">
        <v>687</v>
      </c>
      <c r="J155" s="6" t="s">
        <v>374</v>
      </c>
      <c r="K155" s="6">
        <v>4</v>
      </c>
      <c r="P155" s="19"/>
    </row>
    <row r="156" spans="1:16">
      <c r="A156" s="2">
        <v>2</v>
      </c>
      <c r="B156" t="str">
        <f>IFERROR((_xlfn.XLOOKUP(A156,Diretriz!A:A,Diretriz!B:B)),"")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6" s="2" t="s">
        <v>7</v>
      </c>
      <c r="D156" t="str">
        <f>IFERROR((_xlfn.XLOOKUP(C156,Objetivo!C:C,Objetivo!D:D)), "")</f>
        <v>Garantir a integralidade da assistência dos serviços de média e alta complexidade aos usuários do SUS, por meio do fortalecimento das redes de atenção à saúde.</v>
      </c>
      <c r="E156" s="21" t="s">
        <v>58</v>
      </c>
      <c r="F156" s="20" t="str">
        <f>IFERROR(_xlfn.XLOOKUP(E156,#REF!,#REF!), "")</f>
        <v/>
      </c>
      <c r="G156" s="22" t="s">
        <v>665</v>
      </c>
      <c r="H156" t="s">
        <v>651</v>
      </c>
      <c r="I156" s="24" t="s">
        <v>688</v>
      </c>
      <c r="J156" s="6" t="s">
        <v>374</v>
      </c>
      <c r="K156" s="6">
        <v>1</v>
      </c>
      <c r="P156" s="19"/>
    </row>
    <row r="157" spans="1:16">
      <c r="A157" s="2">
        <v>2</v>
      </c>
      <c r="B157" t="str">
        <f>IFERROR((_xlfn.XLOOKUP(A157,Diretriz!A:A,Diretriz!B:B)),"")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7" s="2" t="s">
        <v>7</v>
      </c>
      <c r="D157" t="str">
        <f>IFERROR((_xlfn.XLOOKUP(C157,Objetivo!C:C,Objetivo!D:D)), "")</f>
        <v>Garantir a integralidade da assistência dos serviços de média e alta complexidade aos usuários do SUS, por meio do fortalecimento das redes de atenção à saúde.</v>
      </c>
      <c r="E157" s="21" t="s">
        <v>58</v>
      </c>
      <c r="F157" s="20" t="str">
        <f>IFERROR(_xlfn.XLOOKUP(E157,#REF!,#REF!), "")</f>
        <v/>
      </c>
      <c r="G157" s="22" t="s">
        <v>666</v>
      </c>
      <c r="H157" t="s">
        <v>652</v>
      </c>
      <c r="I157" s="24" t="s">
        <v>689</v>
      </c>
      <c r="J157" s="6" t="s">
        <v>374</v>
      </c>
      <c r="K157" s="6">
        <v>1</v>
      </c>
      <c r="P157" s="19"/>
    </row>
    <row r="158" spans="1:16">
      <c r="A158" s="2">
        <v>2</v>
      </c>
      <c r="B158" t="str">
        <f>IFERROR((_xlfn.XLOOKUP(A158,Diretriz!A:A,Diretriz!B:B)),"")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8" s="2" t="s">
        <v>7</v>
      </c>
      <c r="D158" t="str">
        <f>IFERROR((_xlfn.XLOOKUP(C158,Objetivo!C:C,Objetivo!D:D)), "")</f>
        <v>Garantir a integralidade da assistência dos serviços de média e alta complexidade aos usuários do SUS, por meio do fortalecimento das redes de atenção à saúde.</v>
      </c>
      <c r="E158" s="21" t="s">
        <v>58</v>
      </c>
      <c r="F158" s="20" t="str">
        <f>IFERROR(_xlfn.XLOOKUP(E158,#REF!,#REF!), "")</f>
        <v/>
      </c>
      <c r="G158" s="22" t="s">
        <v>667</v>
      </c>
      <c r="H158" t="s">
        <v>653</v>
      </c>
      <c r="I158" s="24" t="s">
        <v>690</v>
      </c>
      <c r="J158" s="6" t="s">
        <v>374</v>
      </c>
      <c r="K158" s="6">
        <v>2</v>
      </c>
      <c r="P158" s="19"/>
    </row>
    <row r="159" spans="1:16">
      <c r="A159" s="2">
        <v>2</v>
      </c>
      <c r="B159" t="str">
        <f>IFERROR((_xlfn.XLOOKUP(A159,Diretriz!A:A,Diretriz!B:B)),"")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59" s="2" t="s">
        <v>7</v>
      </c>
      <c r="D159" t="str">
        <f>IFERROR((_xlfn.XLOOKUP(C159,Objetivo!C:C,Objetivo!D:D)), "")</f>
        <v>Garantir a integralidade da assistência dos serviços de média e alta complexidade aos usuários do SUS, por meio do fortalecimento das redes de atenção à saúde.</v>
      </c>
      <c r="E159" s="21" t="s">
        <v>58</v>
      </c>
      <c r="F159" s="20" t="str">
        <f>IFERROR(_xlfn.XLOOKUP(E159,#REF!,#REF!), "")</f>
        <v/>
      </c>
      <c r="G159" s="22" t="s">
        <v>668</v>
      </c>
      <c r="H159" t="s">
        <v>654</v>
      </c>
      <c r="I159" s="24" t="s">
        <v>691</v>
      </c>
      <c r="J159" s="6" t="s">
        <v>374</v>
      </c>
      <c r="K159" s="6">
        <v>500</v>
      </c>
      <c r="P159" s="19"/>
    </row>
    <row r="160" spans="1:16">
      <c r="A160" s="2">
        <v>2</v>
      </c>
      <c r="B160" t="str">
        <f>IFERROR((_xlfn.XLOOKUP(A160,Diretriz!A:A,Diretriz!B:B)),"")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0" s="2" t="s">
        <v>7</v>
      </c>
      <c r="D160" t="str">
        <f>IFERROR((_xlfn.XLOOKUP(C160,Objetivo!C:C,Objetivo!D:D)), "")</f>
        <v>Garantir a integralidade da assistência dos serviços de média e alta complexidade aos usuários do SUS, por meio do fortalecimento das redes de atenção à saúde.</v>
      </c>
      <c r="E160" s="21" t="s">
        <v>58</v>
      </c>
      <c r="F160" s="20" t="str">
        <f>IFERROR(_xlfn.XLOOKUP(E160,#REF!,#REF!), "")</f>
        <v/>
      </c>
      <c r="G160" s="22" t="s">
        <v>669</v>
      </c>
      <c r="H160" t="s">
        <v>655</v>
      </c>
      <c r="I160" s="24" t="s">
        <v>691</v>
      </c>
      <c r="J160" s="6" t="s">
        <v>374</v>
      </c>
      <c r="K160" s="6">
        <v>300</v>
      </c>
      <c r="P160" s="19"/>
    </row>
    <row r="161" spans="1:16">
      <c r="A161" s="2">
        <v>2</v>
      </c>
      <c r="B161" t="str">
        <f>IFERROR((_xlfn.XLOOKUP(A161,Diretriz!A:A,Diretriz!B:B)),"")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1" s="2" t="s">
        <v>7</v>
      </c>
      <c r="D161" t="str">
        <f>IFERROR((_xlfn.XLOOKUP(C161,Objetivo!C:C,Objetivo!D:D)), "")</f>
        <v>Garantir a integralidade da assistência dos serviços de média e alta complexidade aos usuários do SUS, por meio do fortalecimento das redes de atenção à saúde.</v>
      </c>
      <c r="E161" s="21" t="s">
        <v>58</v>
      </c>
      <c r="F161" s="20" t="str">
        <f>IFERROR(_xlfn.XLOOKUP(E161,#REF!,#REF!), "")</f>
        <v/>
      </c>
      <c r="G161" s="22" t="s">
        <v>670</v>
      </c>
      <c r="H161" t="s">
        <v>656</v>
      </c>
      <c r="I161" s="24" t="s">
        <v>307</v>
      </c>
      <c r="J161" s="6" t="s">
        <v>374</v>
      </c>
      <c r="K161" s="6">
        <v>1</v>
      </c>
      <c r="P161" s="19"/>
    </row>
    <row r="162" spans="1:16">
      <c r="A162" s="2">
        <v>2</v>
      </c>
      <c r="B162" t="str">
        <f>IFERROR((_xlfn.XLOOKUP(A162,Diretriz!A:A,Diretriz!B:B)),"")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2" s="2" t="s">
        <v>7</v>
      </c>
      <c r="D162" t="str">
        <f>IFERROR((_xlfn.XLOOKUP(C162,Objetivo!C:C,Objetivo!D:D)), "")</f>
        <v>Garantir a integralidade da assistência dos serviços de média e alta complexidade aos usuários do SUS, por meio do fortalecimento das redes de atenção à saúde.</v>
      </c>
      <c r="E162" s="21" t="s">
        <v>58</v>
      </c>
      <c r="F162" s="20" t="str">
        <f>IFERROR(_xlfn.XLOOKUP(E162,#REF!,#REF!), "")</f>
        <v/>
      </c>
      <c r="G162" s="22" t="s">
        <v>671</v>
      </c>
      <c r="H162" t="s">
        <v>657</v>
      </c>
      <c r="I162" s="24" t="s">
        <v>304</v>
      </c>
      <c r="J162" s="6" t="s">
        <v>374</v>
      </c>
      <c r="K162" s="6">
        <v>1</v>
      </c>
      <c r="P162" s="19"/>
    </row>
    <row r="163" spans="1:16">
      <c r="A163" s="2">
        <v>2</v>
      </c>
      <c r="B163" t="str">
        <f>IFERROR((_xlfn.XLOOKUP(A163,Diretriz!A:A,Diretriz!B:B)),"")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3" s="2" t="s">
        <v>7</v>
      </c>
      <c r="D163" t="str">
        <f>IFERROR((_xlfn.XLOOKUP(C163,Objetivo!C:C,Objetivo!D:D)), "")</f>
        <v>Garantir a integralidade da assistência dos serviços de média e alta complexidade aos usuários do SUS, por meio do fortalecimento das redes de atenção à saúde.</v>
      </c>
      <c r="E163" s="21" t="s">
        <v>58</v>
      </c>
      <c r="F163" s="20" t="str">
        <f>IFERROR(_xlfn.XLOOKUP(E163,#REF!,#REF!), "")</f>
        <v/>
      </c>
      <c r="G163" s="22" t="s">
        <v>672</v>
      </c>
      <c r="H163" t="s">
        <v>658</v>
      </c>
      <c r="I163" s="24" t="s">
        <v>692</v>
      </c>
      <c r="J163" s="6" t="s">
        <v>374</v>
      </c>
      <c r="K163" s="6">
        <v>192</v>
      </c>
      <c r="P163" s="19"/>
    </row>
    <row r="164" spans="1:16">
      <c r="A164" s="2">
        <v>2</v>
      </c>
      <c r="B164" t="str">
        <f>IFERROR((_xlfn.XLOOKUP(A164,Diretriz!A:A,Diretriz!B:B)),"")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4" s="2" t="s">
        <v>7</v>
      </c>
      <c r="D164" t="str">
        <f>IFERROR((_xlfn.XLOOKUP(C164,Objetivo!C:C,Objetivo!D:D)), "")</f>
        <v>Garantir a integralidade da assistência dos serviços de média e alta complexidade aos usuários do SUS, por meio do fortalecimento das redes de atenção à saúde.</v>
      </c>
      <c r="E164" s="21" t="s">
        <v>59</v>
      </c>
      <c r="F164" s="20" t="str">
        <f>IFERROR(_xlfn.XLOOKUP(E164,#REF!,#REF!), "")</f>
        <v/>
      </c>
      <c r="G164" s="22" t="s">
        <v>217</v>
      </c>
      <c r="H164" t="s">
        <v>693</v>
      </c>
      <c r="I164" s="24" t="s">
        <v>712</v>
      </c>
      <c r="J164" s="6" t="s">
        <v>374</v>
      </c>
      <c r="K164" s="6">
        <v>2</v>
      </c>
      <c r="P164" s="19"/>
    </row>
    <row r="165" spans="1:16">
      <c r="A165" s="2">
        <v>2</v>
      </c>
      <c r="B165" t="str">
        <f>IFERROR((_xlfn.XLOOKUP(A165,Diretriz!A:A,Diretriz!B:B)),"")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5" s="2" t="s">
        <v>7</v>
      </c>
      <c r="D165" t="str">
        <f>IFERROR((_xlfn.XLOOKUP(C165,Objetivo!C:C,Objetivo!D:D)), "")</f>
        <v>Garantir a integralidade da assistência dos serviços de média e alta complexidade aos usuários do SUS, por meio do fortalecimento das redes de atenção à saúde.</v>
      </c>
      <c r="E165" s="21" t="s">
        <v>59</v>
      </c>
      <c r="F165" s="20" t="str">
        <f>IFERROR(_xlfn.XLOOKUP(E165,#REF!,#REF!), "")</f>
        <v/>
      </c>
      <c r="G165" s="22" t="s">
        <v>218</v>
      </c>
      <c r="H165" t="s">
        <v>694</v>
      </c>
      <c r="I165" s="24" t="s">
        <v>713</v>
      </c>
      <c r="J165" s="6" t="s">
        <v>374</v>
      </c>
      <c r="K165" s="6">
        <v>132000</v>
      </c>
      <c r="P165" s="19"/>
    </row>
    <row r="166" spans="1:16">
      <c r="A166" s="2">
        <v>2</v>
      </c>
      <c r="B166" t="str">
        <f>IFERROR((_xlfn.XLOOKUP(A166,Diretriz!A:A,Diretriz!B:B)),"")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6" s="2" t="s">
        <v>7</v>
      </c>
      <c r="D166" t="str">
        <f>IFERROR((_xlfn.XLOOKUP(C166,Objetivo!C:C,Objetivo!D:D)), "")</f>
        <v>Garantir a integralidade da assistência dos serviços de média e alta complexidade aos usuários do SUS, por meio do fortalecimento das redes de atenção à saúde.</v>
      </c>
      <c r="E166" s="21" t="s">
        <v>59</v>
      </c>
      <c r="F166" s="20" t="str">
        <f>IFERROR(_xlfn.XLOOKUP(E166,#REF!,#REF!), "")</f>
        <v/>
      </c>
      <c r="G166" s="22" t="s">
        <v>219</v>
      </c>
      <c r="H166" t="s">
        <v>695</v>
      </c>
      <c r="I166" s="24" t="s">
        <v>714</v>
      </c>
      <c r="J166" s="6" t="s">
        <v>374</v>
      </c>
      <c r="K166" s="6">
        <v>10</v>
      </c>
      <c r="P166" s="19"/>
    </row>
    <row r="167" spans="1:16">
      <c r="A167" s="2">
        <v>2</v>
      </c>
      <c r="B167" t="str">
        <f>IFERROR((_xlfn.XLOOKUP(A167,Diretriz!A:A,Diretriz!B:B)),"")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7" s="2" t="s">
        <v>7</v>
      </c>
      <c r="D167" t="str">
        <f>IFERROR((_xlfn.XLOOKUP(C167,Objetivo!C:C,Objetivo!D:D)), "")</f>
        <v>Garantir a integralidade da assistência dos serviços de média e alta complexidade aos usuários do SUS, por meio do fortalecimento das redes de atenção à saúde.</v>
      </c>
      <c r="E167" s="21" t="s">
        <v>59</v>
      </c>
      <c r="F167" s="20" t="str">
        <f>IFERROR(_xlfn.XLOOKUP(E167,#REF!,#REF!), "")</f>
        <v/>
      </c>
      <c r="G167" s="22" t="s">
        <v>220</v>
      </c>
      <c r="H167" t="s">
        <v>696</v>
      </c>
      <c r="I167" s="24" t="s">
        <v>714</v>
      </c>
      <c r="J167" s="6" t="s">
        <v>374</v>
      </c>
      <c r="K167" s="6">
        <v>16</v>
      </c>
      <c r="P167" s="19"/>
    </row>
    <row r="168" spans="1:16">
      <c r="A168" s="2">
        <v>2</v>
      </c>
      <c r="B168" t="str">
        <f>IFERROR((_xlfn.XLOOKUP(A168,Diretriz!A:A,Diretriz!B:B)),"")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8" s="2" t="s">
        <v>7</v>
      </c>
      <c r="D168" t="str">
        <f>IFERROR((_xlfn.XLOOKUP(C168,Objetivo!C:C,Objetivo!D:D)), "")</f>
        <v>Garantir a integralidade da assistência dos serviços de média e alta complexidade aos usuários do SUS, por meio do fortalecimento das redes de atenção à saúde.</v>
      </c>
      <c r="E168" s="21" t="s">
        <v>59</v>
      </c>
      <c r="F168" s="20" t="str">
        <f>IFERROR(_xlfn.XLOOKUP(E168,#REF!,#REF!), "")</f>
        <v/>
      </c>
      <c r="G168" s="22" t="s">
        <v>221</v>
      </c>
      <c r="H168" t="s">
        <v>697</v>
      </c>
      <c r="I168" s="24" t="s">
        <v>714</v>
      </c>
      <c r="J168" s="6" t="s">
        <v>374</v>
      </c>
      <c r="K168" s="6">
        <v>10</v>
      </c>
      <c r="P168" s="19"/>
    </row>
    <row r="169" spans="1:16">
      <c r="A169" s="2">
        <v>2</v>
      </c>
      <c r="B169" t="str">
        <f>IFERROR((_xlfn.XLOOKUP(A169,Diretriz!A:A,Diretriz!B:B)),"")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69" s="2" t="s">
        <v>7</v>
      </c>
      <c r="D169" t="str">
        <f>IFERROR((_xlfn.XLOOKUP(C169,Objetivo!C:C,Objetivo!D:D)), "")</f>
        <v>Garantir a integralidade da assistência dos serviços de média e alta complexidade aos usuários do SUS, por meio do fortalecimento das redes de atenção à saúde.</v>
      </c>
      <c r="E169" s="21" t="s">
        <v>59</v>
      </c>
      <c r="F169" s="20" t="str">
        <f>IFERROR(_xlfn.XLOOKUP(E169,#REF!,#REF!), "")</f>
        <v/>
      </c>
      <c r="G169" s="22" t="s">
        <v>705</v>
      </c>
      <c r="H169" t="s">
        <v>698</v>
      </c>
      <c r="I169" s="24" t="s">
        <v>715</v>
      </c>
      <c r="J169" s="6" t="s">
        <v>374</v>
      </c>
      <c r="K169" s="6">
        <v>1</v>
      </c>
      <c r="P169" s="19"/>
    </row>
    <row r="170" spans="1:16">
      <c r="A170" s="2">
        <v>2</v>
      </c>
      <c r="B170" t="str">
        <f>IFERROR((_xlfn.XLOOKUP(A170,Diretriz!A:A,Diretriz!B:B)),"")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0" s="2" t="s">
        <v>7</v>
      </c>
      <c r="D170" t="str">
        <f>IFERROR((_xlfn.XLOOKUP(C170,Objetivo!C:C,Objetivo!D:D)), "")</f>
        <v>Garantir a integralidade da assistência dos serviços de média e alta complexidade aos usuários do SUS, por meio do fortalecimento das redes de atenção à saúde.</v>
      </c>
      <c r="E170" s="21" t="s">
        <v>59</v>
      </c>
      <c r="F170" s="20" t="str">
        <f>IFERROR(_xlfn.XLOOKUP(E170,#REF!,#REF!), "")</f>
        <v/>
      </c>
      <c r="G170" s="22" t="s">
        <v>706</v>
      </c>
      <c r="H170" t="s">
        <v>699</v>
      </c>
      <c r="I170" s="24" t="s">
        <v>716</v>
      </c>
      <c r="J170" s="6" t="s">
        <v>374</v>
      </c>
      <c r="K170" s="6">
        <v>1</v>
      </c>
      <c r="P170" s="19"/>
    </row>
    <row r="171" spans="1:16">
      <c r="A171" s="2">
        <v>2</v>
      </c>
      <c r="B171" t="str">
        <f>IFERROR((_xlfn.XLOOKUP(A171,Diretriz!A:A,Diretriz!B:B)),"")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1" s="2" t="s">
        <v>7</v>
      </c>
      <c r="D171" t="str">
        <f>IFERROR((_xlfn.XLOOKUP(C171,Objetivo!C:C,Objetivo!D:D)), "")</f>
        <v>Garantir a integralidade da assistência dos serviços de média e alta complexidade aos usuários do SUS, por meio do fortalecimento das redes de atenção à saúde.</v>
      </c>
      <c r="E171" s="21" t="s">
        <v>59</v>
      </c>
      <c r="F171" s="20" t="str">
        <f>IFERROR(_xlfn.XLOOKUP(E171,#REF!,#REF!), "")</f>
        <v/>
      </c>
      <c r="G171" s="22" t="s">
        <v>707</v>
      </c>
      <c r="H171" t="s">
        <v>700</v>
      </c>
      <c r="I171" s="24" t="s">
        <v>490</v>
      </c>
      <c r="J171" s="6" t="s">
        <v>374</v>
      </c>
      <c r="K171" s="6">
        <v>2</v>
      </c>
      <c r="P171" s="19"/>
    </row>
    <row r="172" spans="1:16">
      <c r="A172" s="2">
        <v>2</v>
      </c>
      <c r="B172" t="str">
        <f>IFERROR((_xlfn.XLOOKUP(A172,Diretriz!A:A,Diretriz!B:B)),"")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2" s="2" t="s">
        <v>7</v>
      </c>
      <c r="D172" t="str">
        <f>IFERROR((_xlfn.XLOOKUP(C172,Objetivo!C:C,Objetivo!D:D)), "")</f>
        <v>Garantir a integralidade da assistência dos serviços de média e alta complexidade aos usuários do SUS, por meio do fortalecimento das redes de atenção à saúde.</v>
      </c>
      <c r="E172" s="21" t="s">
        <v>59</v>
      </c>
      <c r="F172" s="20" t="str">
        <f>IFERROR(_xlfn.XLOOKUP(E172,#REF!,#REF!), "")</f>
        <v/>
      </c>
      <c r="G172" s="22" t="s">
        <v>708</v>
      </c>
      <c r="H172" t="s">
        <v>701</v>
      </c>
      <c r="I172" s="24" t="s">
        <v>309</v>
      </c>
      <c r="J172" s="6" t="s">
        <v>374</v>
      </c>
      <c r="K172" s="6">
        <v>1</v>
      </c>
      <c r="P172" s="19"/>
    </row>
    <row r="173" spans="1:16">
      <c r="A173" s="2">
        <v>2</v>
      </c>
      <c r="B173" t="str">
        <f>IFERROR((_xlfn.XLOOKUP(A173,Diretriz!A:A,Diretriz!B:B)),"")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3" s="2" t="s">
        <v>7</v>
      </c>
      <c r="D173" t="str">
        <f>IFERROR((_xlfn.XLOOKUP(C173,Objetivo!C:C,Objetivo!D:D)), "")</f>
        <v>Garantir a integralidade da assistência dos serviços de média e alta complexidade aos usuários do SUS, por meio do fortalecimento das redes de atenção à saúde.</v>
      </c>
      <c r="E173" s="21" t="s">
        <v>59</v>
      </c>
      <c r="F173" s="20" t="str">
        <f>IFERROR(_xlfn.XLOOKUP(E173,#REF!,#REF!), "")</f>
        <v/>
      </c>
      <c r="G173" s="22" t="s">
        <v>709</v>
      </c>
      <c r="H173" t="s">
        <v>702</v>
      </c>
      <c r="I173" s="24" t="s">
        <v>717</v>
      </c>
      <c r="J173" s="6" t="s">
        <v>395</v>
      </c>
      <c r="K173" s="6" t="s">
        <v>720</v>
      </c>
      <c r="P173" s="19"/>
    </row>
    <row r="174" spans="1:16">
      <c r="A174" s="2">
        <v>2</v>
      </c>
      <c r="B174" t="str">
        <f>IFERROR((_xlfn.XLOOKUP(A174,Diretriz!A:A,Diretriz!B:B)),"")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4" s="2" t="s">
        <v>7</v>
      </c>
      <c r="D174" t="str">
        <f>IFERROR((_xlfn.XLOOKUP(C174,Objetivo!C:C,Objetivo!D:D)), "")</f>
        <v>Garantir a integralidade da assistência dos serviços de média e alta complexidade aos usuários do SUS, por meio do fortalecimento das redes de atenção à saúde.</v>
      </c>
      <c r="E174" s="21" t="s">
        <v>59</v>
      </c>
      <c r="F174" s="20" t="str">
        <f>IFERROR(_xlfn.XLOOKUP(E174,#REF!,#REF!), "")</f>
        <v/>
      </c>
      <c r="G174" s="22" t="s">
        <v>710</v>
      </c>
      <c r="H174" t="s">
        <v>703</v>
      </c>
      <c r="I174" s="24" t="s">
        <v>718</v>
      </c>
      <c r="J174" s="6" t="s">
        <v>374</v>
      </c>
      <c r="K174" s="6">
        <v>1</v>
      </c>
      <c r="P174" s="19"/>
    </row>
    <row r="175" spans="1:16">
      <c r="A175" s="2">
        <v>2</v>
      </c>
      <c r="B175" t="str">
        <f>IFERROR((_xlfn.XLOOKUP(A175,Diretriz!A:A,Diretriz!B:B)),"")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5" s="2" t="s">
        <v>7</v>
      </c>
      <c r="D175" t="str">
        <f>IFERROR((_xlfn.XLOOKUP(C175,Objetivo!C:C,Objetivo!D:D)), "")</f>
        <v>Garantir a integralidade da assistência dos serviços de média e alta complexidade aos usuários do SUS, por meio do fortalecimento das redes de atenção à saúde.</v>
      </c>
      <c r="E175" s="21" t="s">
        <v>59</v>
      </c>
      <c r="F175" s="20" t="str">
        <f>IFERROR(_xlfn.XLOOKUP(E175,#REF!,#REF!), "")</f>
        <v/>
      </c>
      <c r="G175" s="22" t="s">
        <v>711</v>
      </c>
      <c r="H175" t="s">
        <v>704</v>
      </c>
      <c r="I175" s="24" t="s">
        <v>719</v>
      </c>
      <c r="J175" s="6" t="s">
        <v>395</v>
      </c>
      <c r="K175" s="6" t="s">
        <v>720</v>
      </c>
      <c r="P175" s="19"/>
    </row>
    <row r="176" spans="1:16">
      <c r="A176" s="2">
        <v>2</v>
      </c>
      <c r="B176" t="str">
        <f>IFERROR((_xlfn.XLOOKUP(A176,Diretriz!A:A,Diretriz!B:B)),"")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6" s="2" t="s">
        <v>7</v>
      </c>
      <c r="D176" t="str">
        <f>IFERROR((_xlfn.XLOOKUP(C176,Objetivo!C:C,Objetivo!D:D)), "")</f>
        <v>Garantir a integralidade da assistência dos serviços de média e alta complexidade aos usuários do SUS, por meio do fortalecimento das redes de atenção à saúde.</v>
      </c>
      <c r="E176" s="21" t="s">
        <v>60</v>
      </c>
      <c r="F176" s="20" t="str">
        <f>IFERROR(_xlfn.XLOOKUP(E176,#REF!,#REF!), "")</f>
        <v/>
      </c>
      <c r="G176" s="22" t="s">
        <v>222</v>
      </c>
      <c r="H176" t="s">
        <v>721</v>
      </c>
      <c r="I176" s="24" t="s">
        <v>734</v>
      </c>
      <c r="J176" s="6" t="s">
        <v>374</v>
      </c>
      <c r="K176" s="6">
        <v>5200</v>
      </c>
      <c r="P176" s="19"/>
    </row>
    <row r="177" spans="1:16">
      <c r="A177" s="2">
        <v>2</v>
      </c>
      <c r="B177" t="str">
        <f>IFERROR((_xlfn.XLOOKUP(A177,Diretriz!A:A,Diretriz!B:B)),"")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7" s="2" t="s">
        <v>7</v>
      </c>
      <c r="D177" t="str">
        <f>IFERROR((_xlfn.XLOOKUP(C177,Objetivo!C:C,Objetivo!D:D)), "")</f>
        <v>Garantir a integralidade da assistência dos serviços de média e alta complexidade aos usuários do SUS, por meio do fortalecimento das redes de atenção à saúde.</v>
      </c>
      <c r="E177" s="21" t="s">
        <v>60</v>
      </c>
      <c r="F177" s="20" t="str">
        <f>IFERROR(_xlfn.XLOOKUP(E177,#REF!,#REF!), "")</f>
        <v/>
      </c>
      <c r="G177" s="22" t="s">
        <v>223</v>
      </c>
      <c r="H177" t="s">
        <v>722</v>
      </c>
      <c r="I177" s="24" t="s">
        <v>679</v>
      </c>
      <c r="J177" s="6" t="s">
        <v>374</v>
      </c>
      <c r="K177" s="6">
        <v>750000</v>
      </c>
      <c r="P177" s="19"/>
    </row>
    <row r="178" spans="1:16">
      <c r="A178" s="2">
        <v>2</v>
      </c>
      <c r="B178" t="str">
        <f>IFERROR((_xlfn.XLOOKUP(A178,Diretriz!A:A,Diretriz!B:B)),"")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8" s="2" t="s">
        <v>7</v>
      </c>
      <c r="D178" t="str">
        <f>IFERROR((_xlfn.XLOOKUP(C178,Objetivo!C:C,Objetivo!D:D)), "")</f>
        <v>Garantir a integralidade da assistência dos serviços de média e alta complexidade aos usuários do SUS, por meio do fortalecimento das redes de atenção à saúde.</v>
      </c>
      <c r="E178" s="21" t="s">
        <v>60</v>
      </c>
      <c r="F178" s="20" t="str">
        <f>IFERROR(_xlfn.XLOOKUP(E178,#REF!,#REF!), "")</f>
        <v/>
      </c>
      <c r="G178" s="22" t="s">
        <v>224</v>
      </c>
      <c r="H178" t="s">
        <v>723</v>
      </c>
      <c r="I178" s="24" t="s">
        <v>494</v>
      </c>
      <c r="J178" s="6" t="s">
        <v>374</v>
      </c>
      <c r="K178" s="6">
        <v>6</v>
      </c>
      <c r="P178" s="19"/>
    </row>
    <row r="179" spans="1:16">
      <c r="A179" s="2">
        <v>2</v>
      </c>
      <c r="B179" t="str">
        <f>IFERROR((_xlfn.XLOOKUP(A179,Diretriz!A:A,Diretriz!B:B)),"")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79" s="2" t="s">
        <v>7</v>
      </c>
      <c r="D179" t="str">
        <f>IFERROR((_xlfn.XLOOKUP(C179,Objetivo!C:C,Objetivo!D:D)), "")</f>
        <v>Garantir a integralidade da assistência dos serviços de média e alta complexidade aos usuários do SUS, por meio do fortalecimento das redes de atenção à saúde.</v>
      </c>
      <c r="E179" s="21" t="s">
        <v>60</v>
      </c>
      <c r="F179" s="20" t="str">
        <f>IFERROR(_xlfn.XLOOKUP(E179,#REF!,#REF!), "")</f>
        <v/>
      </c>
      <c r="G179" s="22" t="s">
        <v>729</v>
      </c>
      <c r="H179" t="s">
        <v>724</v>
      </c>
      <c r="I179" s="24" t="s">
        <v>735</v>
      </c>
      <c r="J179" s="6" t="s">
        <v>374</v>
      </c>
      <c r="K179" s="6">
        <v>50</v>
      </c>
      <c r="P179" s="19"/>
    </row>
    <row r="180" spans="1:16">
      <c r="A180" s="2">
        <v>2</v>
      </c>
      <c r="B180" t="str">
        <f>IFERROR((_xlfn.XLOOKUP(A180,Diretriz!A:A,Diretriz!B:B)),"")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0" s="2" t="s">
        <v>7</v>
      </c>
      <c r="D180" t="str">
        <f>IFERROR((_xlfn.XLOOKUP(C180,Objetivo!C:C,Objetivo!D:D)), "")</f>
        <v>Garantir a integralidade da assistência dos serviços de média e alta complexidade aos usuários do SUS, por meio do fortalecimento das redes de atenção à saúde.</v>
      </c>
      <c r="E180" s="21" t="s">
        <v>60</v>
      </c>
      <c r="F180" s="20" t="str">
        <f>IFERROR(_xlfn.XLOOKUP(E180,#REF!,#REF!), "")</f>
        <v/>
      </c>
      <c r="G180" s="22" t="s">
        <v>730</v>
      </c>
      <c r="H180" t="s">
        <v>725</v>
      </c>
      <c r="I180" s="24" t="s">
        <v>736</v>
      </c>
      <c r="J180" s="6" t="s">
        <v>374</v>
      </c>
      <c r="K180" s="6">
        <v>1</v>
      </c>
      <c r="P180" s="19"/>
    </row>
    <row r="181" spans="1:16">
      <c r="A181" s="2">
        <v>2</v>
      </c>
      <c r="B181" t="str">
        <f>IFERROR((_xlfn.XLOOKUP(A181,Diretriz!A:A,Diretriz!B:B)),"")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1" s="2" t="s">
        <v>7</v>
      </c>
      <c r="D181" t="str">
        <f>IFERROR((_xlfn.XLOOKUP(C181,Objetivo!C:C,Objetivo!D:D)), "")</f>
        <v>Garantir a integralidade da assistência dos serviços de média e alta complexidade aos usuários do SUS, por meio do fortalecimento das redes de atenção à saúde.</v>
      </c>
      <c r="E181" s="21" t="s">
        <v>60</v>
      </c>
      <c r="F181" s="20" t="str">
        <f>IFERROR(_xlfn.XLOOKUP(E181,#REF!,#REF!), "")</f>
        <v/>
      </c>
      <c r="G181" s="22" t="s">
        <v>731</v>
      </c>
      <c r="H181" t="s">
        <v>726</v>
      </c>
      <c r="I181" s="24" t="s">
        <v>304</v>
      </c>
      <c r="J181" s="6" t="s">
        <v>374</v>
      </c>
      <c r="K181" s="6">
        <v>1</v>
      </c>
      <c r="P181" s="19"/>
    </row>
    <row r="182" spans="1:16">
      <c r="A182" s="2">
        <v>2</v>
      </c>
      <c r="B182" t="str">
        <f>IFERROR((_xlfn.XLOOKUP(A182,Diretriz!A:A,Diretriz!B:B)),"")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2" s="2" t="s">
        <v>7</v>
      </c>
      <c r="D182" t="str">
        <f>IFERROR((_xlfn.XLOOKUP(C182,Objetivo!C:C,Objetivo!D:D)), "")</f>
        <v>Garantir a integralidade da assistência dos serviços de média e alta complexidade aos usuários do SUS, por meio do fortalecimento das redes de atenção à saúde.</v>
      </c>
      <c r="E182" s="21" t="s">
        <v>60</v>
      </c>
      <c r="F182" s="20" t="str">
        <f>IFERROR(_xlfn.XLOOKUP(E182,#REF!,#REF!), "")</f>
        <v/>
      </c>
      <c r="G182" s="22" t="s">
        <v>732</v>
      </c>
      <c r="H182" t="s">
        <v>727</v>
      </c>
      <c r="I182" s="24" t="s">
        <v>304</v>
      </c>
      <c r="J182" s="6" t="s">
        <v>374</v>
      </c>
      <c r="K182" s="6">
        <v>1</v>
      </c>
      <c r="P182" s="19"/>
    </row>
    <row r="183" spans="1:16">
      <c r="A183" s="2">
        <v>2</v>
      </c>
      <c r="B183" t="str">
        <f>IFERROR((_xlfn.XLOOKUP(A183,Diretriz!A:A,Diretriz!B:B)),"")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3" s="2" t="s">
        <v>7</v>
      </c>
      <c r="D183" t="str">
        <f>IFERROR((_xlfn.XLOOKUP(C183,Objetivo!C:C,Objetivo!D:D)), "")</f>
        <v>Garantir a integralidade da assistência dos serviços de média e alta complexidade aos usuários do SUS, por meio do fortalecimento das redes de atenção à saúde.</v>
      </c>
      <c r="E183" s="21" t="s">
        <v>60</v>
      </c>
      <c r="F183" s="20" t="str">
        <f>IFERROR(_xlfn.XLOOKUP(E183,#REF!,#REF!), "")</f>
        <v/>
      </c>
      <c r="G183" s="22" t="s">
        <v>733</v>
      </c>
      <c r="H183" t="s">
        <v>728</v>
      </c>
      <c r="I183" s="24" t="s">
        <v>304</v>
      </c>
      <c r="J183" s="6" t="s">
        <v>374</v>
      </c>
      <c r="K183" s="6">
        <v>1</v>
      </c>
      <c r="P183" s="19"/>
    </row>
    <row r="184" spans="1:16">
      <c r="A184" s="2">
        <v>2</v>
      </c>
      <c r="B184" t="str">
        <f>IFERROR((_xlfn.XLOOKUP(A184,Diretriz!A:A,Diretriz!B:B)),"")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4" s="2" t="s">
        <v>7</v>
      </c>
      <c r="D184" t="str">
        <f>IFERROR((_xlfn.XLOOKUP(C184,Objetivo!C:C,Objetivo!D:D)), "")</f>
        <v>Garantir a integralidade da assistência dos serviços de média e alta complexidade aos usuários do SUS, por meio do fortalecimento das redes de atenção à saúde.</v>
      </c>
      <c r="E184" s="21" t="s">
        <v>61</v>
      </c>
      <c r="F184" s="20" t="str">
        <f>IFERROR(_xlfn.XLOOKUP(E184,#REF!,#REF!), "")</f>
        <v/>
      </c>
      <c r="G184" s="22" t="s">
        <v>225</v>
      </c>
      <c r="H184" t="s">
        <v>737</v>
      </c>
      <c r="I184" s="24" t="s">
        <v>739</v>
      </c>
      <c r="J184" s="6" t="s">
        <v>374</v>
      </c>
      <c r="K184" s="6">
        <v>2</v>
      </c>
      <c r="P184" s="19"/>
    </row>
    <row r="185" spans="1:16">
      <c r="A185" s="2">
        <v>2</v>
      </c>
      <c r="B185" t="str">
        <f>IFERROR((_xlfn.XLOOKUP(A185,Diretriz!A:A,Diretriz!B:B)),"")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5" s="2" t="s">
        <v>7</v>
      </c>
      <c r="D185" t="str">
        <f>IFERROR((_xlfn.XLOOKUP(C185,Objetivo!C:C,Objetivo!D:D)), "")</f>
        <v>Garantir a integralidade da assistência dos serviços de média e alta complexidade aos usuários do SUS, por meio do fortalecimento das redes de atenção à saúde.</v>
      </c>
      <c r="E185" s="21" t="s">
        <v>61</v>
      </c>
      <c r="F185" s="20" t="str">
        <f>IFERROR(_xlfn.XLOOKUP(E185,#REF!,#REF!), "")</f>
        <v/>
      </c>
      <c r="G185" s="22" t="s">
        <v>225</v>
      </c>
      <c r="H185" t="s">
        <v>738</v>
      </c>
      <c r="I185" s="24" t="s">
        <v>740</v>
      </c>
      <c r="J185" s="6" t="s">
        <v>374</v>
      </c>
      <c r="K185" s="6">
        <v>2</v>
      </c>
      <c r="P185" s="19"/>
    </row>
    <row r="186" spans="1:16">
      <c r="A186" s="2">
        <v>2</v>
      </c>
      <c r="B186" t="str">
        <f>IFERROR((_xlfn.XLOOKUP(A186,Diretriz!A:A,Diretriz!B:B)),"")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6" s="2" t="s">
        <v>7</v>
      </c>
      <c r="D186" t="str">
        <f>IFERROR((_xlfn.XLOOKUP(C186,Objetivo!C:C,Objetivo!D:D)), "")</f>
        <v>Garantir a integralidade da assistência dos serviços de média e alta complexidade aos usuários do SUS, por meio do fortalecimento das redes de atenção à saúde.</v>
      </c>
      <c r="E186" s="21" t="s">
        <v>62</v>
      </c>
      <c r="F186" s="20" t="str">
        <f>IFERROR(_xlfn.XLOOKUP(E186,#REF!,#REF!), "")</f>
        <v/>
      </c>
      <c r="G186" s="22" t="s">
        <v>226</v>
      </c>
      <c r="H186" t="s">
        <v>741</v>
      </c>
      <c r="I186" s="24" t="s">
        <v>746</v>
      </c>
      <c r="J186" s="6" t="s">
        <v>374</v>
      </c>
      <c r="K186" s="6">
        <v>6</v>
      </c>
      <c r="P186" s="19"/>
    </row>
    <row r="187" spans="1:16">
      <c r="A187" s="2">
        <v>2</v>
      </c>
      <c r="B187" t="str">
        <f>IFERROR((_xlfn.XLOOKUP(A187,Diretriz!A:A,Diretriz!B:B)),"")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7" s="2" t="s">
        <v>7</v>
      </c>
      <c r="D187" t="str">
        <f>IFERROR((_xlfn.XLOOKUP(C187,Objetivo!C:C,Objetivo!D:D)), "")</f>
        <v>Garantir a integralidade da assistência dos serviços de média e alta complexidade aos usuários do SUS, por meio do fortalecimento das redes de atenção à saúde.</v>
      </c>
      <c r="E187" s="21" t="s">
        <v>62</v>
      </c>
      <c r="F187" s="20" t="str">
        <f>IFERROR(_xlfn.XLOOKUP(E187,#REF!,#REF!), "")</f>
        <v/>
      </c>
      <c r="G187" s="22" t="s">
        <v>227</v>
      </c>
      <c r="H187" t="s">
        <v>742</v>
      </c>
      <c r="I187" s="24" t="s">
        <v>490</v>
      </c>
      <c r="J187" s="6" t="s">
        <v>374</v>
      </c>
      <c r="K187" s="6">
        <v>12</v>
      </c>
      <c r="P187" s="19"/>
    </row>
    <row r="188" spans="1:16">
      <c r="A188" s="2">
        <v>2</v>
      </c>
      <c r="B188" t="str">
        <f>IFERROR((_xlfn.XLOOKUP(A188,Diretriz!A:A,Diretriz!B:B)),"")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8" s="2" t="s">
        <v>8</v>
      </c>
      <c r="D188" t="str">
        <f>IFERROR((_xlfn.XLOOKUP(C188,Objetivo!C:C,Objetivo!D:D)), "")</f>
        <v>Ampliar a doação e a captação de órgãos e tecidos, com a finalidade de ampliar a realização de transplantes no estado.</v>
      </c>
      <c r="E188" s="21" t="s">
        <v>62</v>
      </c>
      <c r="F188" s="20" t="str">
        <f>IFERROR(_xlfn.XLOOKUP(E188,#REF!,#REF!), "")</f>
        <v/>
      </c>
      <c r="G188" s="22" t="s">
        <v>228</v>
      </c>
      <c r="H188" t="s">
        <v>743</v>
      </c>
      <c r="I188" s="24" t="s">
        <v>747</v>
      </c>
      <c r="J188" s="6" t="s">
        <v>395</v>
      </c>
      <c r="K188" s="25">
        <v>0.15</v>
      </c>
      <c r="P188" s="19"/>
    </row>
    <row r="189" spans="1:16">
      <c r="A189" s="2">
        <v>2</v>
      </c>
      <c r="B189" t="str">
        <f>IFERROR((_xlfn.XLOOKUP(A189,Diretriz!A:A,Diretriz!B:B)),"")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89" s="2" t="s">
        <v>8</v>
      </c>
      <c r="D189" t="str">
        <f>IFERROR((_xlfn.XLOOKUP(C189,Objetivo!C:C,Objetivo!D:D)), "")</f>
        <v>Ampliar a doação e a captação de órgãos e tecidos, com a finalidade de ampliar a realização de transplantes no estado.</v>
      </c>
      <c r="E189" s="21" t="s">
        <v>62</v>
      </c>
      <c r="F189" s="20" t="str">
        <f>IFERROR(_xlfn.XLOOKUP(E189,#REF!,#REF!), "")</f>
        <v/>
      </c>
      <c r="G189" s="22" t="s">
        <v>229</v>
      </c>
      <c r="H189" t="s">
        <v>744</v>
      </c>
      <c r="I189" s="24" t="s">
        <v>455</v>
      </c>
      <c r="J189" s="6" t="s">
        <v>374</v>
      </c>
      <c r="K189" s="6">
        <v>12</v>
      </c>
      <c r="P189" s="19"/>
    </row>
    <row r="190" spans="1:16">
      <c r="A190" s="2">
        <v>2</v>
      </c>
      <c r="B190" t="str">
        <f>IFERROR((_xlfn.XLOOKUP(A190,Diretriz!A:A,Diretriz!B:B)),"")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0" s="2" t="s">
        <v>8</v>
      </c>
      <c r="D190" t="str">
        <f>IFERROR((_xlfn.XLOOKUP(C190,Objetivo!C:C,Objetivo!D:D)), "")</f>
        <v>Ampliar a doação e a captação de órgãos e tecidos, com a finalidade de ampliar a realização de transplantes no estado.</v>
      </c>
      <c r="E190" s="21" t="s">
        <v>62</v>
      </c>
      <c r="F190" s="20" t="str">
        <f>IFERROR(_xlfn.XLOOKUP(E190,#REF!,#REF!), "")</f>
        <v/>
      </c>
      <c r="G190" s="22" t="s">
        <v>748</v>
      </c>
      <c r="H190" t="s">
        <v>745</v>
      </c>
      <c r="I190" s="24" t="s">
        <v>303</v>
      </c>
      <c r="J190" s="6" t="s">
        <v>374</v>
      </c>
      <c r="K190" s="6">
        <v>3</v>
      </c>
      <c r="P190" s="19"/>
    </row>
    <row r="191" spans="1:16">
      <c r="A191" s="2">
        <v>2</v>
      </c>
      <c r="B191" t="str">
        <f>IFERROR((_xlfn.XLOOKUP(A191,Diretriz!A:A,Diretriz!B:B)),"")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1" s="2" t="s">
        <v>8</v>
      </c>
      <c r="D191" t="str">
        <f>IFERROR((_xlfn.XLOOKUP(C191,Objetivo!C:C,Objetivo!D:D)), "")</f>
        <v>Ampliar a doação e a captação de órgãos e tecidos, com a finalidade de ampliar a realização de transplantes no estado.</v>
      </c>
      <c r="E191" s="21" t="s">
        <v>63</v>
      </c>
      <c r="F191" s="20" t="str">
        <f>IFERROR(_xlfn.XLOOKUP(E191,#REF!,#REF!), "")</f>
        <v/>
      </c>
      <c r="G191" s="22" t="s">
        <v>230</v>
      </c>
      <c r="H191" t="s">
        <v>749</v>
      </c>
      <c r="I191" s="24" t="s">
        <v>752</v>
      </c>
      <c r="J191" s="6" t="s">
        <v>395</v>
      </c>
      <c r="K191" s="25">
        <v>0.95</v>
      </c>
      <c r="P191" s="19"/>
    </row>
    <row r="192" spans="1:16">
      <c r="A192" s="2">
        <v>2</v>
      </c>
      <c r="B192" t="str">
        <f>IFERROR((_xlfn.XLOOKUP(A192,Diretriz!A:A,Diretriz!B:B)),"")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2" s="2" t="s">
        <v>8</v>
      </c>
      <c r="D192" t="str">
        <f>IFERROR((_xlfn.XLOOKUP(C192,Objetivo!C:C,Objetivo!D:D)), "")</f>
        <v>Ampliar a doação e a captação de órgãos e tecidos, com a finalidade de ampliar a realização de transplantes no estado.</v>
      </c>
      <c r="E192" s="21" t="s">
        <v>63</v>
      </c>
      <c r="F192" s="20" t="str">
        <f>IFERROR(_xlfn.XLOOKUP(E192,#REF!,#REF!), "")</f>
        <v/>
      </c>
      <c r="G192" s="22" t="s">
        <v>231</v>
      </c>
      <c r="H192" t="s">
        <v>750</v>
      </c>
      <c r="I192" s="24" t="s">
        <v>491</v>
      </c>
      <c r="J192" s="6" t="s">
        <v>374</v>
      </c>
      <c r="K192" s="6">
        <v>4</v>
      </c>
      <c r="P192" s="19"/>
    </row>
    <row r="193" spans="1:16">
      <c r="A193" s="2">
        <v>2</v>
      </c>
      <c r="B193" t="str">
        <f>IFERROR((_xlfn.XLOOKUP(A193,Diretriz!A:A,Diretriz!B:B)),"")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3" s="2" t="s">
        <v>8</v>
      </c>
      <c r="D193" t="str">
        <f>IFERROR((_xlfn.XLOOKUP(C193,Objetivo!C:C,Objetivo!D:D)), "")</f>
        <v>Ampliar a doação e a captação de órgãos e tecidos, com a finalidade de ampliar a realização de transplantes no estado.</v>
      </c>
      <c r="E193" s="21" t="s">
        <v>63</v>
      </c>
      <c r="F193" s="20" t="str">
        <f>IFERROR(_xlfn.XLOOKUP(E193,#REF!,#REF!), "")</f>
        <v/>
      </c>
      <c r="G193" s="22" t="s">
        <v>232</v>
      </c>
      <c r="H193" t="s">
        <v>751</v>
      </c>
      <c r="I193" s="24" t="s">
        <v>312</v>
      </c>
      <c r="J193" s="6" t="s">
        <v>374</v>
      </c>
      <c r="K193" s="6">
        <v>1</v>
      </c>
      <c r="P193" s="19"/>
    </row>
    <row r="194" spans="1:16">
      <c r="A194" s="2">
        <v>2</v>
      </c>
      <c r="B194" t="str">
        <f>IFERROR((_xlfn.XLOOKUP(A194,Diretriz!A:A,Diretriz!B:B)),"")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4" s="2" t="s">
        <v>8</v>
      </c>
      <c r="D194" t="str">
        <f>IFERROR((_xlfn.XLOOKUP(C194,Objetivo!C:C,Objetivo!D:D)), "")</f>
        <v>Ampliar a doação e a captação de órgãos e tecidos, com a finalidade de ampliar a realização de transplantes no estado.</v>
      </c>
      <c r="E194" s="21" t="s">
        <v>64</v>
      </c>
      <c r="F194" s="20" t="str">
        <f>IFERROR(_xlfn.XLOOKUP(E194,#REF!,#REF!), "")</f>
        <v/>
      </c>
      <c r="G194" s="22" t="s">
        <v>233</v>
      </c>
      <c r="H194" t="s">
        <v>753</v>
      </c>
      <c r="I194" s="24" t="s">
        <v>756</v>
      </c>
      <c r="J194" s="6" t="s">
        <v>395</v>
      </c>
      <c r="K194" s="25">
        <v>0.8</v>
      </c>
      <c r="P194" s="19"/>
    </row>
    <row r="195" spans="1:16">
      <c r="A195" s="2">
        <v>2</v>
      </c>
      <c r="B195" t="str">
        <f>IFERROR((_xlfn.XLOOKUP(A195,Diretriz!A:A,Diretriz!B:B)),"")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5" s="2" t="s">
        <v>8</v>
      </c>
      <c r="D195" t="str">
        <f>IFERROR((_xlfn.XLOOKUP(C195,Objetivo!C:C,Objetivo!D:D)), "")</f>
        <v>Ampliar a doação e a captação de órgãos e tecidos, com a finalidade de ampliar a realização de transplantes no estado.</v>
      </c>
      <c r="E195" s="21" t="s">
        <v>64</v>
      </c>
      <c r="F195" s="20" t="str">
        <f>IFERROR(_xlfn.XLOOKUP(E195,#REF!,#REF!), "")</f>
        <v/>
      </c>
      <c r="G195" s="22" t="s">
        <v>234</v>
      </c>
      <c r="H195" t="s">
        <v>754</v>
      </c>
      <c r="I195" s="24" t="s">
        <v>757</v>
      </c>
      <c r="J195" s="6" t="s">
        <v>374</v>
      </c>
      <c r="K195" s="6">
        <v>3</v>
      </c>
      <c r="P195" s="19"/>
    </row>
    <row r="196" spans="1:16">
      <c r="A196" s="2">
        <v>2</v>
      </c>
      <c r="B196" t="str">
        <f>IFERROR((_xlfn.XLOOKUP(A196,Diretriz!A:A,Diretriz!B:B)),"")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6" s="2" t="s">
        <v>8</v>
      </c>
      <c r="D196" t="str">
        <f>IFERROR((_xlfn.XLOOKUP(C196,Objetivo!C:C,Objetivo!D:D)), "")</f>
        <v>Ampliar a doação e a captação de órgãos e tecidos, com a finalidade de ampliar a realização de transplantes no estado.</v>
      </c>
      <c r="E196" s="21" t="s">
        <v>64</v>
      </c>
      <c r="F196" s="20" t="str">
        <f>IFERROR(_xlfn.XLOOKUP(E196,#REF!,#REF!), "")</f>
        <v/>
      </c>
      <c r="G196" s="22" t="s">
        <v>235</v>
      </c>
      <c r="H196" t="s">
        <v>755</v>
      </c>
      <c r="I196" s="24" t="s">
        <v>601</v>
      </c>
      <c r="J196" s="6" t="s">
        <v>374</v>
      </c>
      <c r="K196" s="6">
        <v>1</v>
      </c>
      <c r="P196" s="19"/>
    </row>
    <row r="197" spans="1:16">
      <c r="A197" s="2">
        <v>2</v>
      </c>
      <c r="B197" t="str">
        <f>IFERROR((_xlfn.XLOOKUP(A197,Diretriz!A:A,Diretriz!B:B)),"")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7" s="2" t="s">
        <v>8</v>
      </c>
      <c r="D197" t="str">
        <f>IFERROR((_xlfn.XLOOKUP(C197,Objetivo!C:C,Objetivo!D:D)), "")</f>
        <v>Ampliar a doação e a captação de órgãos e tecidos, com a finalidade de ampliar a realização de transplantes no estado.</v>
      </c>
      <c r="E197" s="21" t="s">
        <v>65</v>
      </c>
      <c r="F197" s="20" t="str">
        <f>IFERROR(_xlfn.XLOOKUP(E197,#REF!,#REF!), "")</f>
        <v/>
      </c>
      <c r="G197" s="22" t="s">
        <v>236</v>
      </c>
      <c r="H197" t="s">
        <v>758</v>
      </c>
      <c r="I197" s="24" t="s">
        <v>764</v>
      </c>
      <c r="J197" s="6" t="s">
        <v>374</v>
      </c>
      <c r="K197" s="6">
        <v>75690</v>
      </c>
      <c r="P197" s="19"/>
    </row>
    <row r="198" spans="1:16">
      <c r="A198" s="2">
        <v>2</v>
      </c>
      <c r="B198" t="str">
        <f>IFERROR((_xlfn.XLOOKUP(A198,Diretriz!A:A,Diretriz!B:B)),"")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8" s="2" t="s">
        <v>8</v>
      </c>
      <c r="D198" t="str">
        <f>IFERROR((_xlfn.XLOOKUP(C198,Objetivo!C:C,Objetivo!D:D)), "")</f>
        <v>Ampliar a doação e a captação de órgãos e tecidos, com a finalidade de ampliar a realização de transplantes no estado.</v>
      </c>
      <c r="E198" s="21" t="s">
        <v>65</v>
      </c>
      <c r="F198" s="20" t="str">
        <f>IFERROR(_xlfn.XLOOKUP(E198,#REF!,#REF!), "")</f>
        <v/>
      </c>
      <c r="G198" s="22" t="s">
        <v>237</v>
      </c>
      <c r="H198" t="s">
        <v>759</v>
      </c>
      <c r="I198" s="24" t="s">
        <v>508</v>
      </c>
      <c r="J198" s="6" t="s">
        <v>374</v>
      </c>
      <c r="K198" s="6">
        <v>19</v>
      </c>
      <c r="P198" s="19"/>
    </row>
    <row r="199" spans="1:16">
      <c r="A199" s="2">
        <v>2</v>
      </c>
      <c r="B199" t="str">
        <f>IFERROR((_xlfn.XLOOKUP(A199,Diretriz!A:A,Diretriz!B:B)),"")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199" s="2" t="s">
        <v>8</v>
      </c>
      <c r="D199" t="str">
        <f>IFERROR((_xlfn.XLOOKUP(C199,Objetivo!C:C,Objetivo!D:D)), "")</f>
        <v>Ampliar a doação e a captação de órgãos e tecidos, com a finalidade de ampliar a realização de transplantes no estado.</v>
      </c>
      <c r="E199" s="21" t="s">
        <v>65</v>
      </c>
      <c r="F199" s="20" t="str">
        <f>IFERROR(_xlfn.XLOOKUP(E199,#REF!,#REF!), "")</f>
        <v/>
      </c>
      <c r="G199" s="22" t="s">
        <v>238</v>
      </c>
      <c r="H199" t="s">
        <v>760</v>
      </c>
      <c r="I199" s="24" t="s">
        <v>765</v>
      </c>
      <c r="J199" s="6" t="s">
        <v>374</v>
      </c>
      <c r="K199" s="6">
        <v>19</v>
      </c>
      <c r="P199" s="19"/>
    </row>
    <row r="200" spans="1:16">
      <c r="A200" s="2">
        <v>2</v>
      </c>
      <c r="B200" t="str">
        <f>IFERROR((_xlfn.XLOOKUP(A200,Diretriz!A:A,Diretriz!B:B)),"")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0" s="2" t="s">
        <v>9</v>
      </c>
      <c r="D200" t="str">
        <f>IFERROR((_xlfn.XLOOKUP(C200,Objetivo!C:C,Objetivo!D:D)),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0" s="21" t="s">
        <v>65</v>
      </c>
      <c r="F200" s="20" t="str">
        <f>IFERROR(_xlfn.XLOOKUP(E200,#REF!,#REF!), "")</f>
        <v/>
      </c>
      <c r="G200" s="22" t="s">
        <v>239</v>
      </c>
      <c r="H200" t="s">
        <v>761</v>
      </c>
      <c r="I200" s="24" t="s">
        <v>766</v>
      </c>
      <c r="J200" s="6" t="s">
        <v>374</v>
      </c>
      <c r="K200" s="6">
        <v>3000</v>
      </c>
      <c r="P200" s="19"/>
    </row>
    <row r="201" spans="1:16">
      <c r="A201" s="2">
        <v>2</v>
      </c>
      <c r="B201" t="str">
        <f>IFERROR((_xlfn.XLOOKUP(A201,Diretriz!A:A,Diretriz!B:B)),"")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1" s="2" t="s">
        <v>9</v>
      </c>
      <c r="D201" t="str">
        <f>IFERROR((_xlfn.XLOOKUP(C201,Objetivo!C:C,Objetivo!D:D)),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1" s="21" t="s">
        <v>65</v>
      </c>
      <c r="F201" s="20" t="str">
        <f>IFERROR(_xlfn.XLOOKUP(E201,#REF!,#REF!), "")</f>
        <v/>
      </c>
      <c r="G201" s="22" t="s">
        <v>240</v>
      </c>
      <c r="H201" t="s">
        <v>762</v>
      </c>
      <c r="I201" s="24" t="s">
        <v>767</v>
      </c>
      <c r="J201" s="6" t="s">
        <v>374</v>
      </c>
      <c r="K201" s="6">
        <v>18000</v>
      </c>
      <c r="P201" s="19"/>
    </row>
    <row r="202" spans="1:16">
      <c r="A202" s="2">
        <v>2</v>
      </c>
      <c r="B202" t="str">
        <f>IFERROR((_xlfn.XLOOKUP(A202,Diretriz!A:A,Diretriz!B:B)),"")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2" s="2" t="s">
        <v>9</v>
      </c>
      <c r="D202" t="str">
        <f>IFERROR((_xlfn.XLOOKUP(C202,Objetivo!C:C,Objetivo!D:D)),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2" s="21" t="s">
        <v>65</v>
      </c>
      <c r="F202" s="20" t="str">
        <f>IFERROR(_xlfn.XLOOKUP(E202,#REF!,#REF!), "")</f>
        <v/>
      </c>
      <c r="G202" s="22" t="s">
        <v>241</v>
      </c>
      <c r="H202" t="s">
        <v>763</v>
      </c>
      <c r="I202" s="24" t="s">
        <v>768</v>
      </c>
      <c r="J202" s="6" t="s">
        <v>374</v>
      </c>
      <c r="K202" s="6">
        <v>10</v>
      </c>
      <c r="P202" s="19"/>
    </row>
    <row r="203" spans="1:16">
      <c r="A203" s="2">
        <v>2</v>
      </c>
      <c r="B203" t="str">
        <f>IFERROR((_xlfn.XLOOKUP(A203,Diretriz!A:A,Diretriz!B:B)),"")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3" s="2" t="s">
        <v>9</v>
      </c>
      <c r="D203" t="str">
        <f>IFERROR((_xlfn.XLOOKUP(C203,Objetivo!C:C,Objetivo!D:D)),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3" s="21" t="s">
        <v>66</v>
      </c>
      <c r="F203" s="20" t="str">
        <f>IFERROR(_xlfn.XLOOKUP(E203,#REF!,#REF!), "")</f>
        <v/>
      </c>
      <c r="G203" s="22" t="s">
        <v>242</v>
      </c>
      <c r="H203" t="s">
        <v>769</v>
      </c>
      <c r="I203" s="24" t="s">
        <v>773</v>
      </c>
      <c r="J203" s="6" t="s">
        <v>374</v>
      </c>
      <c r="K203" s="6">
        <v>56</v>
      </c>
      <c r="P203" s="19"/>
    </row>
    <row r="204" spans="1:16">
      <c r="A204" s="2">
        <v>2</v>
      </c>
      <c r="B204" t="str">
        <f>IFERROR((_xlfn.XLOOKUP(A204,Diretriz!A:A,Diretriz!B:B)),"")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4" s="2" t="s">
        <v>9</v>
      </c>
      <c r="D204" t="str">
        <f>IFERROR((_xlfn.XLOOKUP(C204,Objetivo!C:C,Objetivo!D:D)),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4" s="21" t="s">
        <v>66</v>
      </c>
      <c r="F204" s="20" t="str">
        <f>IFERROR(_xlfn.XLOOKUP(E204,#REF!,#REF!), "")</f>
        <v/>
      </c>
      <c r="G204" s="22" t="s">
        <v>243</v>
      </c>
      <c r="H204" t="s">
        <v>770</v>
      </c>
      <c r="I204" s="24" t="s">
        <v>774</v>
      </c>
      <c r="J204" s="6" t="s">
        <v>374</v>
      </c>
      <c r="K204" s="6">
        <v>267980</v>
      </c>
      <c r="P204" s="19"/>
    </row>
    <row r="205" spans="1:16">
      <c r="A205" s="2">
        <v>2</v>
      </c>
      <c r="B205" t="str">
        <f>IFERROR((_xlfn.XLOOKUP(A205,Diretriz!A:A,Diretriz!B:B)),"")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5" s="2" t="s">
        <v>9</v>
      </c>
      <c r="D205" t="str">
        <f>IFERROR((_xlfn.XLOOKUP(C205,Objetivo!C:C,Objetivo!D:D)),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5" s="21" t="s">
        <v>66</v>
      </c>
      <c r="F205" s="20" t="str">
        <f>IFERROR(_xlfn.XLOOKUP(E205,#REF!,#REF!), "")</f>
        <v/>
      </c>
      <c r="G205" s="22" t="s">
        <v>244</v>
      </c>
      <c r="H205" t="s">
        <v>771</v>
      </c>
      <c r="I205" s="24" t="s">
        <v>774</v>
      </c>
      <c r="J205" s="6" t="s">
        <v>374</v>
      </c>
      <c r="K205" s="6">
        <v>295622</v>
      </c>
      <c r="P205" s="19"/>
    </row>
    <row r="206" spans="1:16">
      <c r="A206" s="2">
        <v>2</v>
      </c>
      <c r="B206" t="str">
        <f>IFERROR((_xlfn.XLOOKUP(A206,Diretriz!A:A,Diretriz!B:B)),"")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6" s="2" t="s">
        <v>9</v>
      </c>
      <c r="D206" t="str">
        <f>IFERROR((_xlfn.XLOOKUP(C206,Objetivo!C:C,Objetivo!D:D)),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6" s="21" t="s">
        <v>66</v>
      </c>
      <c r="F206" s="20" t="str">
        <f>IFERROR(_xlfn.XLOOKUP(E206,#REF!,#REF!), "")</f>
        <v/>
      </c>
      <c r="G206" s="22" t="s">
        <v>245</v>
      </c>
      <c r="H206" t="s">
        <v>772</v>
      </c>
      <c r="I206" s="24" t="s">
        <v>774</v>
      </c>
      <c r="J206" s="6" t="s">
        <v>374</v>
      </c>
      <c r="K206" s="6">
        <v>513324</v>
      </c>
      <c r="P206" s="19"/>
    </row>
    <row r="207" spans="1:16">
      <c r="A207" s="2">
        <v>2</v>
      </c>
      <c r="B207" t="str">
        <f>IFERROR((_xlfn.XLOOKUP(A207,Diretriz!A:A,Diretriz!B:B)),"")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7" s="2" t="s">
        <v>9</v>
      </c>
      <c r="D207" t="str">
        <f>IFERROR((_xlfn.XLOOKUP(C207,Objetivo!C:C,Objetivo!D:D)),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7" s="21" t="s">
        <v>66</v>
      </c>
      <c r="F207" s="20" t="str">
        <f>IFERROR(_xlfn.XLOOKUP(E207,#REF!,#REF!), "")</f>
        <v/>
      </c>
      <c r="G207" s="22" t="s">
        <v>246</v>
      </c>
      <c r="H207" t="s">
        <v>116</v>
      </c>
      <c r="I207" s="24" t="s">
        <v>774</v>
      </c>
      <c r="J207" s="6" t="s">
        <v>374</v>
      </c>
      <c r="K207" s="6">
        <v>327652</v>
      </c>
      <c r="P207" s="19"/>
    </row>
    <row r="208" spans="1:16">
      <c r="A208" s="2">
        <v>2</v>
      </c>
      <c r="B208" t="str">
        <f>IFERROR((_xlfn.XLOOKUP(A208,Diretriz!A:A,Diretriz!B:B)),"")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8" s="2" t="s">
        <v>9</v>
      </c>
      <c r="D208" t="str">
        <f>IFERROR((_xlfn.XLOOKUP(C208,Objetivo!C:C,Objetivo!D:D)),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8" s="21" t="s">
        <v>67</v>
      </c>
      <c r="F208" s="20" t="str">
        <f>IFERROR(_xlfn.XLOOKUP(E208,#REF!,#REF!), "")</f>
        <v/>
      </c>
      <c r="G208" s="22" t="s">
        <v>247</v>
      </c>
      <c r="H208" t="s">
        <v>775</v>
      </c>
      <c r="I208" s="24" t="s">
        <v>777</v>
      </c>
      <c r="J208" s="6" t="s">
        <v>395</v>
      </c>
      <c r="K208" s="26">
        <v>1</v>
      </c>
      <c r="P208" s="19"/>
    </row>
    <row r="209" spans="1:16">
      <c r="A209" s="2">
        <v>2</v>
      </c>
      <c r="B209" t="str">
        <f>IFERROR((_xlfn.XLOOKUP(A209,Diretriz!A:A,Diretriz!B:B)),"")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09" s="2" t="s">
        <v>9</v>
      </c>
      <c r="D209" t="str">
        <f>IFERROR((_xlfn.XLOOKUP(C209,Objetivo!C:C,Objetivo!D:D)),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09" s="21" t="s">
        <v>67</v>
      </c>
      <c r="F209" s="20" t="str">
        <f>IFERROR(_xlfn.XLOOKUP(E209,#REF!,#REF!), "")</f>
        <v/>
      </c>
      <c r="G209" s="22" t="s">
        <v>248</v>
      </c>
      <c r="H209" t="s">
        <v>776</v>
      </c>
      <c r="I209" s="24" t="s">
        <v>778</v>
      </c>
      <c r="J209" s="6" t="s">
        <v>374</v>
      </c>
      <c r="K209" s="6">
        <v>60</v>
      </c>
      <c r="P209" s="19"/>
    </row>
    <row r="210" spans="1:16">
      <c r="A210" s="2">
        <v>2</v>
      </c>
      <c r="B210" t="str">
        <f>IFERROR((_xlfn.XLOOKUP(A210,Diretriz!A:A,Diretriz!B:B)),"")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0" s="2" t="s">
        <v>9</v>
      </c>
      <c r="D210" t="str">
        <f>IFERROR((_xlfn.XLOOKUP(C210,Objetivo!C:C,Objetivo!D:D)),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0" s="21" t="s">
        <v>68</v>
      </c>
      <c r="F210" s="20" t="str">
        <f>IFERROR(_xlfn.XLOOKUP(E210,#REF!,#REF!), "")</f>
        <v/>
      </c>
      <c r="G210" s="22" t="s">
        <v>249</v>
      </c>
      <c r="H210" t="s">
        <v>779</v>
      </c>
      <c r="I210" s="24" t="s">
        <v>311</v>
      </c>
      <c r="J210" s="6" t="s">
        <v>374</v>
      </c>
      <c r="K210" s="6">
        <v>100</v>
      </c>
      <c r="P210" s="19"/>
    </row>
    <row r="211" spans="1:16">
      <c r="A211" s="2">
        <v>2</v>
      </c>
      <c r="B211" t="str">
        <f>IFERROR((_xlfn.XLOOKUP(A211,Diretriz!A:A,Diretriz!B:B)),"")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1" s="2" t="s">
        <v>9</v>
      </c>
      <c r="D211" t="str">
        <f>IFERROR((_xlfn.XLOOKUP(C211,Objetivo!C:C,Objetivo!D:D)),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1" s="21" t="s">
        <v>68</v>
      </c>
      <c r="F211" s="20" t="str">
        <f>IFERROR(_xlfn.XLOOKUP(E211,#REF!,#REF!), "")</f>
        <v/>
      </c>
      <c r="G211" s="22" t="s">
        <v>250</v>
      </c>
      <c r="H211" t="s">
        <v>780</v>
      </c>
      <c r="I211" s="24" t="s">
        <v>782</v>
      </c>
      <c r="J211" s="6" t="s">
        <v>374</v>
      </c>
      <c r="K211" s="6">
        <v>24</v>
      </c>
      <c r="P211" s="19"/>
    </row>
    <row r="212" spans="1:16">
      <c r="A212" s="2">
        <v>2</v>
      </c>
      <c r="B212" t="str">
        <f>IFERROR((_xlfn.XLOOKUP(A212,Diretriz!A:A,Diretriz!B:B)),"")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2" s="2" t="s">
        <v>9</v>
      </c>
      <c r="D212" t="str">
        <f>IFERROR((_xlfn.XLOOKUP(C212,Objetivo!C:C,Objetivo!D:D)),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2" s="21" t="s">
        <v>68</v>
      </c>
      <c r="F212" s="20" t="str">
        <f>IFERROR(_xlfn.XLOOKUP(E212,#REF!,#REF!), "")</f>
        <v/>
      </c>
      <c r="G212" s="22" t="s">
        <v>251</v>
      </c>
      <c r="H212" t="s">
        <v>781</v>
      </c>
      <c r="I212" s="24" t="s">
        <v>783</v>
      </c>
      <c r="J212" s="6" t="s">
        <v>374</v>
      </c>
      <c r="K212" s="6">
        <v>2880</v>
      </c>
      <c r="P212" s="19"/>
    </row>
    <row r="213" spans="1:16">
      <c r="A213" s="2">
        <v>2</v>
      </c>
      <c r="B213" t="str">
        <f>IFERROR((_xlfn.XLOOKUP(A213,Diretriz!A:A,Diretriz!B:B)),"")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3" s="2" t="s">
        <v>9</v>
      </c>
      <c r="D213" t="str">
        <f>IFERROR((_xlfn.XLOOKUP(C213,Objetivo!C:C,Objetivo!D:D)),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3" s="21" t="s">
        <v>69</v>
      </c>
      <c r="F213" s="20" t="str">
        <f>IFERROR(_xlfn.XLOOKUP(E213,#REF!,#REF!), "")</f>
        <v/>
      </c>
      <c r="G213" s="22" t="s">
        <v>252</v>
      </c>
      <c r="H213" t="s">
        <v>784</v>
      </c>
      <c r="I213" s="24" t="s">
        <v>313</v>
      </c>
      <c r="J213" s="6" t="s">
        <v>374</v>
      </c>
      <c r="K213" s="6">
        <v>250</v>
      </c>
      <c r="P213" s="19"/>
    </row>
    <row r="214" spans="1:16">
      <c r="A214" s="2">
        <v>2</v>
      </c>
      <c r="B214" t="str">
        <f>IFERROR((_xlfn.XLOOKUP(A214,Diretriz!A:A,Diretriz!B:B)),"")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4" s="2" t="s">
        <v>9</v>
      </c>
      <c r="D214" t="str">
        <f>IFERROR((_xlfn.XLOOKUP(C214,Objetivo!C:C,Objetivo!D:D)),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4" s="21" t="s">
        <v>69</v>
      </c>
      <c r="F214" s="20" t="str">
        <f>IFERROR(_xlfn.XLOOKUP(E214,#REF!,#REF!), "")</f>
        <v/>
      </c>
      <c r="G214" s="22" t="s">
        <v>252</v>
      </c>
      <c r="H214" t="s">
        <v>785</v>
      </c>
      <c r="I214" s="24" t="s">
        <v>787</v>
      </c>
      <c r="J214" s="6" t="s">
        <v>374</v>
      </c>
      <c r="K214" s="6">
        <v>1</v>
      </c>
      <c r="P214" s="19"/>
    </row>
    <row r="215" spans="1:16">
      <c r="A215" s="2">
        <v>2</v>
      </c>
      <c r="B215" t="str">
        <f>IFERROR((_xlfn.XLOOKUP(A215,Diretriz!A:A,Diretriz!B:B)),"")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5" s="2" t="s">
        <v>9</v>
      </c>
      <c r="D215" t="str">
        <f>IFERROR((_xlfn.XLOOKUP(C215,Objetivo!C:C,Objetivo!D:D)),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5" s="21" t="s">
        <v>69</v>
      </c>
      <c r="F215" s="20" t="str">
        <f>IFERROR(_xlfn.XLOOKUP(E215,#REF!,#REF!), "")</f>
        <v/>
      </c>
      <c r="G215" s="22" t="s">
        <v>252</v>
      </c>
      <c r="H215" t="s">
        <v>786</v>
      </c>
      <c r="I215" s="24" t="s">
        <v>456</v>
      </c>
      <c r="J215" s="6" t="s">
        <v>374</v>
      </c>
      <c r="K215" s="6">
        <v>12</v>
      </c>
      <c r="P215" s="19"/>
    </row>
    <row r="216" spans="1:16">
      <c r="A216" s="29">
        <v>2</v>
      </c>
      <c r="B216" s="30" t="str">
        <f>IFERROR((_xlfn.XLOOKUP(A216,Diretriz!A:A,Diretriz!B:B)),"")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6" s="29" t="s">
        <v>9</v>
      </c>
      <c r="D216" s="30" t="str">
        <f>IFERROR((_xlfn.XLOOKUP(C216,Objetivo!C:C,Objetivo!D:D)),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6" s="31" t="s">
        <v>70</v>
      </c>
      <c r="F216" s="32" t="str">
        <f>IFERROR(_xlfn.XLOOKUP(E216,#REF!,#REF!), "")</f>
        <v/>
      </c>
      <c r="G216" s="33" t="s">
        <v>253</v>
      </c>
      <c r="H216" s="30" t="s">
        <v>788</v>
      </c>
      <c r="I216" s="34" t="s">
        <v>793</v>
      </c>
      <c r="J216" s="35" t="s">
        <v>374</v>
      </c>
      <c r="K216" s="36">
        <v>325</v>
      </c>
      <c r="P216" s="19"/>
    </row>
    <row r="217" spans="1:16">
      <c r="A217" s="2">
        <v>2</v>
      </c>
      <c r="B217" t="str">
        <f>IFERROR((_xlfn.XLOOKUP(A217,Diretriz!A:A,Diretriz!B:B)),"")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7" s="2" t="s">
        <v>9</v>
      </c>
      <c r="D217" t="str">
        <f>IFERROR((_xlfn.XLOOKUP(C217,Objetivo!C:C,Objetivo!D:D)), "")</f>
        <v>Programar, executar e coordenar a política de sangue, seus componentes e derivados no estado do Maranhão no âmbito da hemoterapia e de hematologia clínica, incluindo suporte diagnostico e atendimentos multidisciplinares.</v>
      </c>
      <c r="E217" s="21" t="s">
        <v>70</v>
      </c>
      <c r="F217" s="20" t="str">
        <f>IFERROR(_xlfn.XLOOKUP(E217,#REF!,#REF!), "")</f>
        <v/>
      </c>
      <c r="G217" s="22" t="s">
        <v>254</v>
      </c>
      <c r="H217" t="s">
        <v>789</v>
      </c>
      <c r="I217" s="24" t="s">
        <v>793</v>
      </c>
      <c r="J217" s="6" t="s">
        <v>374</v>
      </c>
      <c r="K217" s="6">
        <v>47</v>
      </c>
      <c r="P217" s="19"/>
    </row>
    <row r="218" spans="1:16">
      <c r="A218" s="2">
        <v>2</v>
      </c>
      <c r="B218" t="str">
        <f>IFERROR((_xlfn.XLOOKUP(A218,Diretriz!A:A,Diretriz!B:B)),"")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8" s="2" t="s">
        <v>10</v>
      </c>
      <c r="D218" t="str">
        <f>IFERROR((_xlfn.XLOOKUP(C218,Objetivo!C:C,Objetivo!D:D)), "")</f>
        <v>Realizar assistência de combate ao cancer na média e alta complexidade.</v>
      </c>
      <c r="E218" s="21" t="s">
        <v>70</v>
      </c>
      <c r="F218" s="20" t="str">
        <f>IFERROR(_xlfn.XLOOKUP(E218,#REF!,#REF!), "")</f>
        <v/>
      </c>
      <c r="G218" s="22" t="s">
        <v>255</v>
      </c>
      <c r="H218" t="s">
        <v>790</v>
      </c>
      <c r="I218" s="24" t="s">
        <v>794</v>
      </c>
      <c r="J218" s="6" t="s">
        <v>374</v>
      </c>
      <c r="K218" s="6">
        <v>11</v>
      </c>
      <c r="P218" s="19"/>
    </row>
    <row r="219" spans="1:16">
      <c r="A219" s="2">
        <v>2</v>
      </c>
      <c r="B219" t="str">
        <f>IFERROR((_xlfn.XLOOKUP(A219,Diretriz!A:A,Diretriz!B:B)),"")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19" s="2" t="s">
        <v>10</v>
      </c>
      <c r="D219" t="str">
        <f>IFERROR((_xlfn.XLOOKUP(C219,Objetivo!C:C,Objetivo!D:D)), "")</f>
        <v>Realizar assistência de combate ao cancer na média e alta complexidade.</v>
      </c>
      <c r="E219" s="21" t="s">
        <v>70</v>
      </c>
      <c r="F219" s="20" t="str">
        <f>IFERROR(_xlfn.XLOOKUP(E219,#REF!,#REF!), "")</f>
        <v/>
      </c>
      <c r="G219" s="22" t="s">
        <v>792</v>
      </c>
      <c r="H219" t="s">
        <v>791</v>
      </c>
      <c r="I219" s="24" t="s">
        <v>313</v>
      </c>
      <c r="J219" s="6" t="s">
        <v>374</v>
      </c>
      <c r="K219" s="6">
        <v>50</v>
      </c>
      <c r="P219" s="19"/>
    </row>
    <row r="220" spans="1:16">
      <c r="A220" s="2">
        <v>2</v>
      </c>
      <c r="B220" t="str">
        <f>IFERROR((_xlfn.XLOOKUP(A220,Diretriz!A:A,Diretriz!B:B)),"")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0" s="2" t="s">
        <v>10</v>
      </c>
      <c r="D220" t="str">
        <f>IFERROR((_xlfn.XLOOKUP(C220,Objetivo!C:C,Objetivo!D:D)), "")</f>
        <v>Realizar assistência de combate ao cancer na média e alta complexidade.</v>
      </c>
      <c r="E220" s="21" t="s">
        <v>71</v>
      </c>
      <c r="F220" s="20" t="str">
        <f>IFERROR(_xlfn.XLOOKUP(E220,#REF!,#REF!), "")</f>
        <v/>
      </c>
      <c r="G220" s="22" t="s">
        <v>256</v>
      </c>
      <c r="H220" t="s">
        <v>795</v>
      </c>
      <c r="I220" s="24" t="s">
        <v>810</v>
      </c>
      <c r="J220" s="6" t="s">
        <v>374</v>
      </c>
      <c r="K220" s="6">
        <v>128906</v>
      </c>
      <c r="P220" s="19"/>
    </row>
    <row r="221" spans="1:16">
      <c r="A221" s="2">
        <v>2</v>
      </c>
      <c r="B221" t="str">
        <f>IFERROR((_xlfn.XLOOKUP(A221,Diretriz!A:A,Diretriz!B:B)),"")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1" s="2" t="s">
        <v>10</v>
      </c>
      <c r="D221" t="str">
        <f>IFERROR((_xlfn.XLOOKUP(C221,Objetivo!C:C,Objetivo!D:D)), "")</f>
        <v>Realizar assistência de combate ao cancer na média e alta complexidade.</v>
      </c>
      <c r="E221" s="21" t="s">
        <v>71</v>
      </c>
      <c r="F221" s="20" t="str">
        <f>IFERROR(_xlfn.XLOOKUP(E221,#REF!,#REF!), "")</f>
        <v/>
      </c>
      <c r="G221" s="22" t="s">
        <v>257</v>
      </c>
      <c r="H221" t="s">
        <v>796</v>
      </c>
      <c r="I221" s="24" t="s">
        <v>811</v>
      </c>
      <c r="J221" s="6" t="s">
        <v>374</v>
      </c>
      <c r="K221" s="6">
        <v>102345</v>
      </c>
      <c r="P221" s="19"/>
    </row>
    <row r="222" spans="1:16">
      <c r="A222" s="2">
        <v>2</v>
      </c>
      <c r="B222" t="str">
        <f>IFERROR((_xlfn.XLOOKUP(A222,Diretriz!A:A,Diretriz!B:B)),"")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2" s="2" t="s">
        <v>10</v>
      </c>
      <c r="D222" t="str">
        <f>IFERROR((_xlfn.XLOOKUP(C222,Objetivo!C:C,Objetivo!D:D)), "")</f>
        <v>Realizar assistência de combate ao cancer na média e alta complexidade.</v>
      </c>
      <c r="E222" s="21" t="s">
        <v>71</v>
      </c>
      <c r="F222" s="20" t="str">
        <f>IFERROR(_xlfn.XLOOKUP(E222,#REF!,#REF!), "")</f>
        <v/>
      </c>
      <c r="G222" s="22" t="s">
        <v>258</v>
      </c>
      <c r="H222" t="s">
        <v>797</v>
      </c>
      <c r="I222" s="24" t="s">
        <v>812</v>
      </c>
      <c r="J222" s="6" t="s">
        <v>374</v>
      </c>
      <c r="K222" s="6">
        <v>236075</v>
      </c>
      <c r="P222" s="19"/>
    </row>
    <row r="223" spans="1:16">
      <c r="A223" s="2">
        <v>2</v>
      </c>
      <c r="B223" t="str">
        <f>IFERROR((_xlfn.XLOOKUP(A223,Diretriz!A:A,Diretriz!B:B)),"")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3" s="2" t="s">
        <v>10</v>
      </c>
      <c r="D223" t="str">
        <f>IFERROR((_xlfn.XLOOKUP(C223,Objetivo!C:C,Objetivo!D:D)), "")</f>
        <v>Realizar assistência de combate ao cancer na média e alta complexidade.</v>
      </c>
      <c r="E223" s="21" t="s">
        <v>71</v>
      </c>
      <c r="F223" s="20" t="str">
        <f>IFERROR(_xlfn.XLOOKUP(E223,#REF!,#REF!), "")</f>
        <v/>
      </c>
      <c r="G223" s="22" t="s">
        <v>804</v>
      </c>
      <c r="H223" t="s">
        <v>798</v>
      </c>
      <c r="I223" s="24" t="s">
        <v>813</v>
      </c>
      <c r="J223" s="6" t="s">
        <v>374</v>
      </c>
      <c r="K223" s="6">
        <v>12000</v>
      </c>
      <c r="P223" s="19"/>
    </row>
    <row r="224" spans="1:16">
      <c r="A224" s="2">
        <v>2</v>
      </c>
      <c r="B224" t="str">
        <f>IFERROR((_xlfn.XLOOKUP(A224,Diretriz!A:A,Diretriz!B:B)),"")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4" s="2" t="s">
        <v>11</v>
      </c>
      <c r="D224" t="str">
        <f>IFERROR((_xlfn.XLOOKUP(C224,Objetivo!C:C,Objetivo!D:D)), "")</f>
        <v>Ampliar e modernizar a infraestrutura de unidades de saúde, de acordo com perfil assistencial definido.</v>
      </c>
      <c r="E224" s="21" t="s">
        <v>71</v>
      </c>
      <c r="F224" s="20" t="str">
        <f>IFERROR(_xlfn.XLOOKUP(E224,#REF!,#REF!), "")</f>
        <v/>
      </c>
      <c r="G224" s="22" t="s">
        <v>805</v>
      </c>
      <c r="H224" t="s">
        <v>799</v>
      </c>
      <c r="I224" s="24" t="s">
        <v>813</v>
      </c>
      <c r="J224" s="6" t="s">
        <v>374</v>
      </c>
      <c r="K224" s="6">
        <v>12000</v>
      </c>
      <c r="P224" s="19"/>
    </row>
    <row r="225" spans="1:16">
      <c r="A225" s="2">
        <v>2</v>
      </c>
      <c r="B225" t="str">
        <f>IFERROR((_xlfn.XLOOKUP(A225,Diretriz!A:A,Diretriz!B:B)),"")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5" s="2" t="s">
        <v>11</v>
      </c>
      <c r="D225" t="str">
        <f>IFERROR((_xlfn.XLOOKUP(C225,Objetivo!C:C,Objetivo!D:D)), "")</f>
        <v>Ampliar e modernizar a infraestrutura de unidades de saúde, de acordo com perfil assistencial definido.</v>
      </c>
      <c r="E225" s="21" t="s">
        <v>71</v>
      </c>
      <c r="F225" s="20" t="str">
        <f>IFERROR(_xlfn.XLOOKUP(E225,#REF!,#REF!), "")</f>
        <v/>
      </c>
      <c r="G225" s="22" t="s">
        <v>806</v>
      </c>
      <c r="H225" t="s">
        <v>800</v>
      </c>
      <c r="I225" s="24" t="s">
        <v>813</v>
      </c>
      <c r="J225" s="6" t="s">
        <v>374</v>
      </c>
      <c r="K225" s="6">
        <v>12000</v>
      </c>
      <c r="P225" s="19"/>
    </row>
    <row r="226" spans="1:16">
      <c r="A226" s="2">
        <v>2</v>
      </c>
      <c r="B226" t="str">
        <f>IFERROR((_xlfn.XLOOKUP(A226,Diretriz!A:A,Diretriz!B:B)),"")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6" s="2" t="s">
        <v>11</v>
      </c>
      <c r="D226" t="str">
        <f>IFERROR((_xlfn.XLOOKUP(C226,Objetivo!C:C,Objetivo!D:D)), "")</f>
        <v>Ampliar e modernizar a infraestrutura de unidades de saúde, de acordo com perfil assistencial definido.</v>
      </c>
      <c r="E226" s="21" t="s">
        <v>71</v>
      </c>
      <c r="F226" s="20" t="str">
        <f>IFERROR(_xlfn.XLOOKUP(E226,#REF!,#REF!), "")</f>
        <v/>
      </c>
      <c r="G226" s="22" t="s">
        <v>807</v>
      </c>
      <c r="H226" t="s">
        <v>801</v>
      </c>
      <c r="I226" s="24" t="s">
        <v>813</v>
      </c>
      <c r="J226" s="6" t="s">
        <v>374</v>
      </c>
      <c r="K226" s="6">
        <v>12000</v>
      </c>
      <c r="P226" s="19"/>
    </row>
    <row r="227" spans="1:16">
      <c r="A227" s="2">
        <v>2</v>
      </c>
      <c r="B227" t="str">
        <f>IFERROR((_xlfn.XLOOKUP(A227,Diretriz!A:A,Diretriz!B:B)),"")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7" s="2" t="s">
        <v>11</v>
      </c>
      <c r="D227" t="str">
        <f>IFERROR((_xlfn.XLOOKUP(C227,Objetivo!C:C,Objetivo!D:D)), "")</f>
        <v>Ampliar e modernizar a infraestrutura de unidades de saúde, de acordo com perfil assistencial definido.</v>
      </c>
      <c r="E227" s="21" t="s">
        <v>71</v>
      </c>
      <c r="F227" s="20" t="str">
        <f>IFERROR(_xlfn.XLOOKUP(E227,#REF!,#REF!), "")</f>
        <v/>
      </c>
      <c r="G227" s="22" t="s">
        <v>808</v>
      </c>
      <c r="H227" t="s">
        <v>802</v>
      </c>
      <c r="I227" s="24" t="s">
        <v>814</v>
      </c>
      <c r="J227" s="6" t="s">
        <v>374</v>
      </c>
      <c r="K227" s="6">
        <v>1</v>
      </c>
      <c r="P227" s="19"/>
    </row>
    <row r="228" spans="1:16">
      <c r="A228" s="2">
        <v>2</v>
      </c>
      <c r="B228" t="str">
        <f>IFERROR((_xlfn.XLOOKUP(A228,Diretriz!A:A,Diretriz!B:B)),"")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8" s="2" t="s">
        <v>11</v>
      </c>
      <c r="D228" t="str">
        <f>IFERROR((_xlfn.XLOOKUP(C228,Objetivo!C:C,Objetivo!D:D)), "")</f>
        <v>Ampliar e modernizar a infraestrutura de unidades de saúde, de acordo com perfil assistencial definido.</v>
      </c>
      <c r="E228" s="21" t="s">
        <v>71</v>
      </c>
      <c r="F228" s="20" t="str">
        <f>IFERROR(_xlfn.XLOOKUP(E228,#REF!,#REF!), "")</f>
        <v/>
      </c>
      <c r="G228" s="22" t="s">
        <v>809</v>
      </c>
      <c r="H228" t="s">
        <v>803</v>
      </c>
      <c r="I228" s="24" t="s">
        <v>815</v>
      </c>
      <c r="J228" s="6" t="s">
        <v>374</v>
      </c>
      <c r="K228" s="6">
        <v>2</v>
      </c>
      <c r="P228" s="19"/>
    </row>
    <row r="229" spans="1:16">
      <c r="A229" s="2">
        <v>2</v>
      </c>
      <c r="B229" t="str">
        <f>IFERROR((_xlfn.XLOOKUP(A229,Diretriz!A:A,Diretriz!B:B)),"")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29" s="2" t="s">
        <v>11</v>
      </c>
      <c r="D229" t="str">
        <f>IFERROR((_xlfn.XLOOKUP(C229,Objetivo!C:C,Objetivo!D:D)), "")</f>
        <v>Ampliar e modernizar a infraestrutura de unidades de saúde, de acordo com perfil assistencial definido.</v>
      </c>
      <c r="E229" s="21" t="s">
        <v>72</v>
      </c>
      <c r="F229" s="20" t="str">
        <f>IFERROR(_xlfn.XLOOKUP(E229,#REF!,#REF!), "")</f>
        <v/>
      </c>
      <c r="G229" s="22" t="s">
        <v>259</v>
      </c>
      <c r="H229" t="s">
        <v>816</v>
      </c>
      <c r="I229" s="24" t="s">
        <v>819</v>
      </c>
      <c r="J229" s="6" t="s">
        <v>374</v>
      </c>
      <c r="K229" s="6">
        <v>18922</v>
      </c>
      <c r="P229" s="19"/>
    </row>
    <row r="230" spans="1:16">
      <c r="A230" s="2">
        <v>2</v>
      </c>
      <c r="B230" t="str">
        <f>IFERROR((_xlfn.XLOOKUP(A230,Diretriz!A:A,Diretriz!B:B)),"")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0" s="2" t="s">
        <v>11</v>
      </c>
      <c r="D230" t="str">
        <f>IFERROR((_xlfn.XLOOKUP(C230,Objetivo!C:C,Objetivo!D:D)), "")</f>
        <v>Ampliar e modernizar a infraestrutura de unidades de saúde, de acordo com perfil assistencial definido.</v>
      </c>
      <c r="E230" s="21" t="s">
        <v>72</v>
      </c>
      <c r="F230" s="20" t="str">
        <f>IFERROR(_xlfn.XLOOKUP(E230,#REF!,#REF!), "")</f>
        <v/>
      </c>
      <c r="G230" s="22" t="s">
        <v>260</v>
      </c>
      <c r="H230" t="s">
        <v>817</v>
      </c>
      <c r="I230" s="24" t="s">
        <v>819</v>
      </c>
      <c r="J230" s="6" t="s">
        <v>374</v>
      </c>
      <c r="K230" s="6">
        <v>4899</v>
      </c>
      <c r="P230" s="19"/>
    </row>
    <row r="231" spans="1:16">
      <c r="A231" s="2">
        <v>2</v>
      </c>
      <c r="B231" t="str">
        <f>IFERROR((_xlfn.XLOOKUP(A231,Diretriz!A:A,Diretriz!B:B)),"")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1" s="2" t="s">
        <v>11</v>
      </c>
      <c r="D231" t="str">
        <f>IFERROR((_xlfn.XLOOKUP(C231,Objetivo!C:C,Objetivo!D:D)), "")</f>
        <v>Ampliar e modernizar a infraestrutura de unidades de saúde, de acordo com perfil assistencial definido.</v>
      </c>
      <c r="E231" s="21" t="s">
        <v>72</v>
      </c>
      <c r="F231" s="20" t="str">
        <f>IFERROR(_xlfn.XLOOKUP(E231,#REF!,#REF!), "")</f>
        <v/>
      </c>
      <c r="G231" s="22" t="s">
        <v>261</v>
      </c>
      <c r="H231" t="s">
        <v>818</v>
      </c>
      <c r="I231" s="24" t="s">
        <v>819</v>
      </c>
      <c r="J231" s="6" t="s">
        <v>374</v>
      </c>
      <c r="K231" s="6">
        <v>9220</v>
      </c>
      <c r="P231" s="19"/>
    </row>
    <row r="232" spans="1:16">
      <c r="A232" s="2">
        <v>2</v>
      </c>
      <c r="B232" t="str">
        <f>IFERROR((_xlfn.XLOOKUP(A232,Diretriz!A:A,Diretriz!B:B)),"")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2" s="2" t="s">
        <v>11</v>
      </c>
      <c r="D232" t="str">
        <f>IFERROR((_xlfn.XLOOKUP(C232,Objetivo!C:C,Objetivo!D:D)), "")</f>
        <v>Ampliar e modernizar a infraestrutura de unidades de saúde, de acordo com perfil assistencial definido.</v>
      </c>
      <c r="E232" s="21" t="s">
        <v>73</v>
      </c>
      <c r="F232" s="20" t="str">
        <f>IFERROR(_xlfn.XLOOKUP(E232,#REF!,#REF!), "")</f>
        <v/>
      </c>
      <c r="G232" s="22" t="s">
        <v>262</v>
      </c>
      <c r="H232" t="s">
        <v>820</v>
      </c>
      <c r="I232" s="24" t="s">
        <v>600</v>
      </c>
      <c r="J232" s="6" t="s">
        <v>374</v>
      </c>
      <c r="K232" s="6">
        <v>23615</v>
      </c>
      <c r="P232" s="19"/>
    </row>
    <row r="233" spans="1:16">
      <c r="A233" s="2">
        <v>2</v>
      </c>
      <c r="B233" t="str">
        <f>IFERROR((_xlfn.XLOOKUP(A233,Diretriz!A:A,Diretriz!B:B)),"")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3" s="2" t="s">
        <v>11</v>
      </c>
      <c r="D233" t="str">
        <f>IFERROR((_xlfn.XLOOKUP(C233,Objetivo!C:C,Objetivo!D:D)), "")</f>
        <v>Ampliar e modernizar a infraestrutura de unidades de saúde, de acordo com perfil assistencial definido.</v>
      </c>
      <c r="E233" s="21" t="s">
        <v>73</v>
      </c>
      <c r="F233" s="20" t="str">
        <f>IFERROR(_xlfn.XLOOKUP(E233,#REF!,#REF!), "")</f>
        <v/>
      </c>
      <c r="G233" s="22" t="s">
        <v>263</v>
      </c>
      <c r="H233" t="s">
        <v>821</v>
      </c>
      <c r="I233" s="24" t="s">
        <v>600</v>
      </c>
      <c r="J233" s="6" t="s">
        <v>374</v>
      </c>
      <c r="K233" s="6">
        <v>8998</v>
      </c>
      <c r="P233" s="19"/>
    </row>
    <row r="234" spans="1:16">
      <c r="A234" s="2">
        <v>2</v>
      </c>
      <c r="B234" t="str">
        <f>IFERROR((_xlfn.XLOOKUP(A234,Diretriz!A:A,Diretriz!B:B)),"")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4" s="2" t="s">
        <v>11</v>
      </c>
      <c r="D234" t="str">
        <f>IFERROR((_xlfn.XLOOKUP(C234,Objetivo!C:C,Objetivo!D:D)), "")</f>
        <v>Ampliar e modernizar a infraestrutura de unidades de saúde, de acordo com perfil assistencial definido.</v>
      </c>
      <c r="E234" s="21" t="s">
        <v>73</v>
      </c>
      <c r="F234" s="20" t="str">
        <f>IFERROR(_xlfn.XLOOKUP(E234,#REF!,#REF!), "")</f>
        <v/>
      </c>
      <c r="G234" s="22" t="s">
        <v>264</v>
      </c>
      <c r="H234" t="s">
        <v>822</v>
      </c>
      <c r="I234" s="24" t="s">
        <v>600</v>
      </c>
      <c r="J234" s="6" t="s">
        <v>374</v>
      </c>
      <c r="K234" s="6">
        <v>1306</v>
      </c>
      <c r="P234" s="19"/>
    </row>
    <row r="235" spans="1:16">
      <c r="A235" s="2">
        <v>2</v>
      </c>
      <c r="B235" t="str">
        <f>IFERROR((_xlfn.XLOOKUP(A235,Diretriz!A:A,Diretriz!B:B)),"")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5" s="2" t="s">
        <v>11</v>
      </c>
      <c r="D235" t="str">
        <f>IFERROR((_xlfn.XLOOKUP(C235,Objetivo!C:C,Objetivo!D:D)), "")</f>
        <v>Ampliar e modernizar a infraestrutura de unidades de saúde, de acordo com perfil assistencial definido.</v>
      </c>
      <c r="E235" s="21" t="s">
        <v>73</v>
      </c>
      <c r="F235" s="20" t="str">
        <f>IFERROR(_xlfn.XLOOKUP(E235,#REF!,#REF!), "")</f>
        <v/>
      </c>
      <c r="G235" s="22" t="s">
        <v>265</v>
      </c>
      <c r="H235" t="s">
        <v>823</v>
      </c>
      <c r="I235" s="24" t="s">
        <v>600</v>
      </c>
      <c r="J235" s="6" t="s">
        <v>374</v>
      </c>
      <c r="K235" s="6">
        <v>11609</v>
      </c>
      <c r="P235" s="19"/>
    </row>
    <row r="236" spans="1:16">
      <c r="A236" s="2">
        <v>2</v>
      </c>
      <c r="B236" t="str">
        <f>IFERROR((_xlfn.XLOOKUP(A236,Diretriz!A:A,Diretriz!B:B)),"")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6" s="2" t="s">
        <v>11</v>
      </c>
      <c r="D236" t="str">
        <f>IFERROR((_xlfn.XLOOKUP(C236,Objetivo!C:C,Objetivo!D:D)), "")</f>
        <v>Ampliar e modernizar a infraestrutura de unidades de saúde, de acordo com perfil assistencial definido.</v>
      </c>
      <c r="E236" s="21" t="s">
        <v>73</v>
      </c>
      <c r="F236" s="20" t="str">
        <f>IFERROR(_xlfn.XLOOKUP(E236,#REF!,#REF!), "")</f>
        <v/>
      </c>
      <c r="G236" s="22" t="s">
        <v>266</v>
      </c>
      <c r="H236" t="s">
        <v>824</v>
      </c>
      <c r="I236" s="24" t="s">
        <v>600</v>
      </c>
      <c r="J236" s="6" t="s">
        <v>374</v>
      </c>
      <c r="K236" s="6">
        <v>4604</v>
      </c>
      <c r="P236" s="19"/>
    </row>
    <row r="237" spans="1:16">
      <c r="A237" s="2">
        <v>2</v>
      </c>
      <c r="B237" t="str">
        <f>IFERROR((_xlfn.XLOOKUP(A237,Diretriz!A:A,Diretriz!B:B)),"")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7" s="2" t="s">
        <v>11</v>
      </c>
      <c r="D237" t="str">
        <f>IFERROR((_xlfn.XLOOKUP(C237,Objetivo!C:C,Objetivo!D:D)), "")</f>
        <v>Ampliar e modernizar a infraestrutura de unidades de saúde, de acordo com perfil assistencial definido.</v>
      </c>
      <c r="E237" s="21" t="s">
        <v>73</v>
      </c>
      <c r="F237" s="20" t="str">
        <f>IFERROR(_xlfn.XLOOKUP(E237,#REF!,#REF!), "")</f>
        <v/>
      </c>
      <c r="G237" s="22" t="s">
        <v>267</v>
      </c>
      <c r="H237" t="s">
        <v>825</v>
      </c>
      <c r="I237" s="24" t="s">
        <v>600</v>
      </c>
      <c r="J237" s="6" t="s">
        <v>374</v>
      </c>
      <c r="K237" s="6">
        <v>2521</v>
      </c>
      <c r="P237" s="19"/>
    </row>
    <row r="238" spans="1:16">
      <c r="A238" s="2">
        <v>2</v>
      </c>
      <c r="B238" t="str">
        <f>IFERROR((_xlfn.XLOOKUP(A238,Diretriz!A:A,Diretriz!B:B)),"")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8" s="2" t="s">
        <v>11</v>
      </c>
      <c r="D238" t="str">
        <f>IFERROR((_xlfn.XLOOKUP(C238,Objetivo!C:C,Objetivo!D:D)), "")</f>
        <v>Ampliar e modernizar a infraestrutura de unidades de saúde, de acordo com perfil assistencial definido.</v>
      </c>
      <c r="E238" s="21" t="s">
        <v>73</v>
      </c>
      <c r="F238" s="20" t="str">
        <f>IFERROR(_xlfn.XLOOKUP(E238,#REF!,#REF!), "")</f>
        <v/>
      </c>
      <c r="G238" s="22" t="s">
        <v>268</v>
      </c>
      <c r="H238" t="s">
        <v>826</v>
      </c>
      <c r="I238" s="24" t="s">
        <v>600</v>
      </c>
      <c r="J238" s="6" t="s">
        <v>374</v>
      </c>
      <c r="K238" s="6">
        <v>6775</v>
      </c>
      <c r="P238" s="19"/>
    </row>
    <row r="239" spans="1:16">
      <c r="A239" s="2">
        <v>2</v>
      </c>
      <c r="B239" t="str">
        <f>IFERROR((_xlfn.XLOOKUP(A239,Diretriz!A:A,Diretriz!B:B)),"")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39" s="2" t="s">
        <v>11</v>
      </c>
      <c r="D239" t="str">
        <f>IFERROR((_xlfn.XLOOKUP(C239,Objetivo!C:C,Objetivo!D:D)), "")</f>
        <v>Ampliar e modernizar a infraestrutura de unidades de saúde, de acordo com perfil assistencial definido.</v>
      </c>
      <c r="E239" s="21" t="s">
        <v>74</v>
      </c>
      <c r="F239" s="20" t="str">
        <f>IFERROR(_xlfn.XLOOKUP(E239,#REF!,#REF!), "")</f>
        <v/>
      </c>
      <c r="G239" s="22" t="s">
        <v>269</v>
      </c>
      <c r="H239" t="s">
        <v>827</v>
      </c>
      <c r="I239" s="24" t="s">
        <v>833</v>
      </c>
      <c r="J239" s="6" t="s">
        <v>374</v>
      </c>
      <c r="K239" s="6">
        <v>847438</v>
      </c>
      <c r="P239" s="19"/>
    </row>
    <row r="240" spans="1:16">
      <c r="A240" s="2">
        <v>2</v>
      </c>
      <c r="B240" t="str">
        <f>IFERROR((_xlfn.XLOOKUP(A240,Diretriz!A:A,Diretriz!B:B)),"")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0" s="2" t="s">
        <v>11</v>
      </c>
      <c r="D240" t="str">
        <f>IFERROR((_xlfn.XLOOKUP(C240,Objetivo!C:C,Objetivo!D:D)), "")</f>
        <v>Ampliar e modernizar a infraestrutura de unidades de saúde, de acordo com perfil assistencial definido.</v>
      </c>
      <c r="E240" s="21" t="s">
        <v>74</v>
      </c>
      <c r="F240" s="20" t="str">
        <f>IFERROR(_xlfn.XLOOKUP(E240,#REF!,#REF!), "")</f>
        <v/>
      </c>
      <c r="G240" s="22" t="s">
        <v>270</v>
      </c>
      <c r="H240" t="s">
        <v>828</v>
      </c>
      <c r="I240" s="24" t="s">
        <v>834</v>
      </c>
      <c r="J240" s="6" t="s">
        <v>374</v>
      </c>
      <c r="K240" s="6">
        <v>479936</v>
      </c>
      <c r="P240" s="19"/>
    </row>
    <row r="241" spans="1:16">
      <c r="A241" s="2">
        <v>2</v>
      </c>
      <c r="B241" t="str">
        <f>IFERROR((_xlfn.XLOOKUP(A241,Diretriz!A:A,Diretriz!B:B)),"")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1" s="2" t="s">
        <v>11</v>
      </c>
      <c r="D241" t="str">
        <f>IFERROR((_xlfn.XLOOKUP(C241,Objetivo!C:C,Objetivo!D:D)), "")</f>
        <v>Ampliar e modernizar a infraestrutura de unidades de saúde, de acordo com perfil assistencial definido.</v>
      </c>
      <c r="E241" s="21" t="s">
        <v>74</v>
      </c>
      <c r="F241" s="20" t="str">
        <f>IFERROR(_xlfn.XLOOKUP(E241,#REF!,#REF!), "")</f>
        <v/>
      </c>
      <c r="G241" s="22" t="s">
        <v>271</v>
      </c>
      <c r="H241" t="s">
        <v>829</v>
      </c>
      <c r="I241" s="24" t="s">
        <v>834</v>
      </c>
      <c r="J241" s="6" t="s">
        <v>374</v>
      </c>
      <c r="K241" s="6">
        <v>194466</v>
      </c>
      <c r="P241" s="19"/>
    </row>
    <row r="242" spans="1:16">
      <c r="A242" s="2">
        <v>2</v>
      </c>
      <c r="B242" t="str">
        <f>IFERROR((_xlfn.XLOOKUP(A242,Diretriz!A:A,Diretriz!B:B)),"")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2" s="2" t="s">
        <v>11</v>
      </c>
      <c r="D242" t="str">
        <f>IFERROR((_xlfn.XLOOKUP(C242,Objetivo!C:C,Objetivo!D:D)), "")</f>
        <v>Ampliar e modernizar a infraestrutura de unidades de saúde, de acordo com perfil assistencial definido.</v>
      </c>
      <c r="E242" s="21" t="s">
        <v>74</v>
      </c>
      <c r="F242" s="20" t="str">
        <f>IFERROR(_xlfn.XLOOKUP(E242,#REF!,#REF!), "")</f>
        <v/>
      </c>
      <c r="G242" s="22" t="s">
        <v>272</v>
      </c>
      <c r="H242" t="s">
        <v>830</v>
      </c>
      <c r="I242" s="24" t="s">
        <v>834</v>
      </c>
      <c r="J242" s="6" t="s">
        <v>374</v>
      </c>
      <c r="K242" s="6">
        <v>138614</v>
      </c>
      <c r="P242" s="19"/>
    </row>
    <row r="243" spans="1:16">
      <c r="A243" s="2">
        <v>2</v>
      </c>
      <c r="B243" t="str">
        <f>IFERROR((_xlfn.XLOOKUP(A243,Diretriz!A:A,Diretriz!B:B)),"")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3" s="2" t="s">
        <v>11</v>
      </c>
      <c r="D243" t="str">
        <f>IFERROR((_xlfn.XLOOKUP(C243,Objetivo!C:C,Objetivo!D:D)), "")</f>
        <v>Ampliar e modernizar a infraestrutura de unidades de saúde, de acordo com perfil assistencial definido.</v>
      </c>
      <c r="E243" s="21" t="s">
        <v>74</v>
      </c>
      <c r="F243" s="20" t="str">
        <f>IFERROR(_xlfn.XLOOKUP(E243,#REF!,#REF!), "")</f>
        <v/>
      </c>
      <c r="G243" s="22" t="s">
        <v>273</v>
      </c>
      <c r="H243" t="s">
        <v>831</v>
      </c>
      <c r="I243" s="24" t="s">
        <v>834</v>
      </c>
      <c r="J243" s="6" t="s">
        <v>374</v>
      </c>
      <c r="K243" s="6">
        <v>8924</v>
      </c>
      <c r="P243" s="19"/>
    </row>
    <row r="244" spans="1:16">
      <c r="A244" s="2">
        <v>2</v>
      </c>
      <c r="B244" t="str">
        <f>IFERROR((_xlfn.XLOOKUP(A244,Diretriz!A:A,Diretriz!B:B)),"")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4" s="2" t="s">
        <v>11</v>
      </c>
      <c r="D244" t="str">
        <f>IFERROR((_xlfn.XLOOKUP(C244,Objetivo!C:C,Objetivo!D:D)), "")</f>
        <v>Ampliar e modernizar a infraestrutura de unidades de saúde, de acordo com perfil assistencial definido.</v>
      </c>
      <c r="E244" s="21" t="s">
        <v>75</v>
      </c>
      <c r="F244" s="20" t="str">
        <f>IFERROR(_xlfn.XLOOKUP(E244,#REF!,#REF!), "")</f>
        <v/>
      </c>
      <c r="G244" s="22" t="s">
        <v>274</v>
      </c>
      <c r="H244" t="s">
        <v>832</v>
      </c>
      <c r="I244" s="24" t="s">
        <v>835</v>
      </c>
      <c r="J244" s="6" t="s">
        <v>374</v>
      </c>
      <c r="K244" s="6">
        <v>2</v>
      </c>
      <c r="P244" s="19"/>
    </row>
    <row r="245" spans="1:16">
      <c r="A245" s="2">
        <v>2</v>
      </c>
      <c r="B245" t="str">
        <f>IFERROR((_xlfn.XLOOKUP(A245,Diretriz!A:A,Diretriz!B:B)),"")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45" s="2" t="s">
        <v>11</v>
      </c>
      <c r="D245" t="str">
        <f>IFERROR((_xlfn.XLOOKUP(C245,Objetivo!C:C,Objetivo!D:D)), "")</f>
        <v>Ampliar e modernizar a infraestrutura de unidades de saúde, de acordo com perfil assistencial definido.</v>
      </c>
      <c r="E245" s="21" t="s">
        <v>76</v>
      </c>
      <c r="F245" s="20" t="str">
        <f>IFERROR(_xlfn.XLOOKUP(E245,#REF!,#REF!), "")</f>
        <v/>
      </c>
      <c r="G245" s="22" t="s">
        <v>275</v>
      </c>
      <c r="H245" t="s">
        <v>836</v>
      </c>
      <c r="I245" s="24" t="s">
        <v>837</v>
      </c>
      <c r="J245" s="6" t="s">
        <v>374</v>
      </c>
      <c r="K245" s="6">
        <v>1000</v>
      </c>
      <c r="P245" s="19"/>
    </row>
    <row r="246" spans="1:16">
      <c r="E246" s="21" t="s">
        <v>77</v>
      </c>
      <c r="F246" s="20" t="str">
        <f>IFERROR(_xlfn.XLOOKUP(E246,#REF!,#REF!), "")</f>
        <v/>
      </c>
      <c r="G246" s="22" t="s">
        <v>276</v>
      </c>
      <c r="H246" t="s">
        <v>888</v>
      </c>
      <c r="I246" s="24" t="s">
        <v>906</v>
      </c>
      <c r="J246" s="6" t="s">
        <v>374</v>
      </c>
      <c r="K246" s="6">
        <v>1</v>
      </c>
      <c r="P246" s="19"/>
    </row>
    <row r="247" spans="1:16">
      <c r="E247" s="21" t="s">
        <v>77</v>
      </c>
      <c r="F247" s="20"/>
      <c r="G247" s="22" t="s">
        <v>277</v>
      </c>
      <c r="H247" t="s">
        <v>889</v>
      </c>
      <c r="I247" s="24" t="s">
        <v>906</v>
      </c>
      <c r="J247" s="6" t="s">
        <v>374</v>
      </c>
      <c r="K247" s="6">
        <v>1</v>
      </c>
      <c r="P247" s="19"/>
    </row>
    <row r="248" spans="1:16">
      <c r="E248" s="21" t="s">
        <v>77</v>
      </c>
      <c r="F248" s="20"/>
      <c r="G248" s="22" t="s">
        <v>278</v>
      </c>
      <c r="H248" t="s">
        <v>890</v>
      </c>
      <c r="I248" s="24" t="s">
        <v>906</v>
      </c>
      <c r="J248" s="6" t="s">
        <v>374</v>
      </c>
      <c r="K248" s="6">
        <v>1</v>
      </c>
      <c r="P248" s="19"/>
    </row>
    <row r="249" spans="1:16">
      <c r="E249" s="21" t="s">
        <v>77</v>
      </c>
      <c r="F249" s="20"/>
      <c r="G249" s="22" t="s">
        <v>279</v>
      </c>
      <c r="H249" t="s">
        <v>891</v>
      </c>
      <c r="I249" s="24" t="s">
        <v>906</v>
      </c>
      <c r="J249" s="6" t="s">
        <v>374</v>
      </c>
      <c r="K249" s="6">
        <v>1</v>
      </c>
      <c r="P249" s="19"/>
    </row>
    <row r="250" spans="1:16">
      <c r="E250" s="21" t="s">
        <v>77</v>
      </c>
      <c r="F250" s="20"/>
      <c r="G250" s="22" t="s">
        <v>280</v>
      </c>
      <c r="H250" t="s">
        <v>892</v>
      </c>
      <c r="I250" s="24" t="s">
        <v>906</v>
      </c>
      <c r="J250" s="6" t="s">
        <v>374</v>
      </c>
      <c r="K250" s="6">
        <v>1</v>
      </c>
      <c r="P250" s="19"/>
    </row>
    <row r="251" spans="1:16">
      <c r="E251" s="21" t="s">
        <v>77</v>
      </c>
      <c r="F251" s="20"/>
      <c r="G251" s="22" t="s">
        <v>281</v>
      </c>
      <c r="H251" t="s">
        <v>893</v>
      </c>
      <c r="I251" s="24" t="s">
        <v>906</v>
      </c>
      <c r="J251" s="6" t="s">
        <v>374</v>
      </c>
      <c r="K251" s="6">
        <v>1</v>
      </c>
      <c r="P251" s="19"/>
    </row>
    <row r="252" spans="1:16">
      <c r="E252" s="21" t="s">
        <v>77</v>
      </c>
      <c r="F252" s="20"/>
      <c r="G252" s="22" t="s">
        <v>282</v>
      </c>
      <c r="H252" t="s">
        <v>894</v>
      </c>
      <c r="I252" s="24" t="s">
        <v>906</v>
      </c>
      <c r="J252" s="6" t="s">
        <v>374</v>
      </c>
      <c r="K252" s="6">
        <v>1</v>
      </c>
      <c r="P252" s="19"/>
    </row>
    <row r="253" spans="1:16">
      <c r="E253" s="21" t="s">
        <v>77</v>
      </c>
      <c r="F253" s="20"/>
      <c r="G253" s="22" t="s">
        <v>283</v>
      </c>
      <c r="H253" t="s">
        <v>895</v>
      </c>
      <c r="I253" s="24" t="s">
        <v>906</v>
      </c>
      <c r="J253" s="6" t="s">
        <v>374</v>
      </c>
      <c r="K253" s="6">
        <v>1</v>
      </c>
      <c r="P253" s="19"/>
    </row>
    <row r="254" spans="1:16">
      <c r="E254" s="21" t="s">
        <v>77</v>
      </c>
      <c r="F254" s="20"/>
      <c r="G254" s="22" t="s">
        <v>284</v>
      </c>
      <c r="H254" t="s">
        <v>896</v>
      </c>
      <c r="I254" s="24" t="s">
        <v>906</v>
      </c>
      <c r="J254" s="6" t="s">
        <v>374</v>
      </c>
      <c r="K254" s="6">
        <v>1</v>
      </c>
      <c r="P254" s="19"/>
    </row>
    <row r="255" spans="1:16">
      <c r="E255" s="21" t="s">
        <v>77</v>
      </c>
      <c r="F255" s="20"/>
      <c r="G255" s="22" t="s">
        <v>285</v>
      </c>
      <c r="H255" t="s">
        <v>897</v>
      </c>
      <c r="I255" s="24" t="s">
        <v>906</v>
      </c>
      <c r="J255" s="6" t="s">
        <v>374</v>
      </c>
      <c r="K255" s="6">
        <v>1</v>
      </c>
      <c r="P255" s="19"/>
    </row>
    <row r="256" spans="1:16">
      <c r="E256" s="21" t="s">
        <v>77</v>
      </c>
      <c r="F256" s="20"/>
      <c r="G256" s="22" t="s">
        <v>286</v>
      </c>
      <c r="H256" t="s">
        <v>898</v>
      </c>
      <c r="I256" s="24" t="s">
        <v>906</v>
      </c>
      <c r="J256" s="6" t="s">
        <v>374</v>
      </c>
      <c r="K256" s="6">
        <v>1</v>
      </c>
      <c r="P256" s="19"/>
    </row>
    <row r="257" spans="5:16">
      <c r="E257" s="21" t="s">
        <v>77</v>
      </c>
      <c r="F257" s="20"/>
      <c r="G257" s="22" t="s">
        <v>881</v>
      </c>
      <c r="H257" t="s">
        <v>899</v>
      </c>
      <c r="I257" s="24" t="s">
        <v>906</v>
      </c>
      <c r="J257" s="6" t="s">
        <v>374</v>
      </c>
      <c r="K257" s="6">
        <v>1</v>
      </c>
      <c r="P257" s="19"/>
    </row>
    <row r="258" spans="5:16">
      <c r="E258" s="21" t="s">
        <v>77</v>
      </c>
      <c r="F258" s="20"/>
      <c r="G258" s="22" t="s">
        <v>882</v>
      </c>
      <c r="H258" t="s">
        <v>900</v>
      </c>
      <c r="I258" s="24" t="s">
        <v>906</v>
      </c>
      <c r="J258" s="6" t="s">
        <v>374</v>
      </c>
      <c r="K258" s="6">
        <v>1</v>
      </c>
      <c r="P258" s="19"/>
    </row>
    <row r="259" spans="5:16">
      <c r="E259" s="21" t="s">
        <v>77</v>
      </c>
      <c r="F259" s="20"/>
      <c r="G259" s="22" t="s">
        <v>883</v>
      </c>
      <c r="H259" t="s">
        <v>901</v>
      </c>
      <c r="I259" s="24" t="s">
        <v>906</v>
      </c>
      <c r="J259" s="6" t="s">
        <v>374</v>
      </c>
      <c r="K259" s="6">
        <v>1</v>
      </c>
      <c r="P259" s="19"/>
    </row>
    <row r="260" spans="5:16">
      <c r="E260" s="21" t="s">
        <v>77</v>
      </c>
      <c r="F260" s="20"/>
      <c r="G260" s="22" t="s">
        <v>884</v>
      </c>
      <c r="H260" t="s">
        <v>902</v>
      </c>
      <c r="I260" s="24" t="s">
        <v>906</v>
      </c>
      <c r="J260" s="6" t="s">
        <v>374</v>
      </c>
      <c r="K260" s="6">
        <v>1</v>
      </c>
      <c r="P260" s="19"/>
    </row>
    <row r="261" spans="5:16">
      <c r="E261" s="21" t="s">
        <v>77</v>
      </c>
      <c r="F261" s="20"/>
      <c r="G261" s="22" t="s">
        <v>885</v>
      </c>
      <c r="H261" t="s">
        <v>903</v>
      </c>
      <c r="I261" s="24" t="s">
        <v>906</v>
      </c>
      <c r="J261" s="6" t="s">
        <v>374</v>
      </c>
      <c r="K261" s="6">
        <v>1</v>
      </c>
      <c r="P261" s="19"/>
    </row>
    <row r="262" spans="5:16">
      <c r="E262" s="21" t="s">
        <v>77</v>
      </c>
      <c r="F262" s="20"/>
      <c r="G262" s="22" t="s">
        <v>886</v>
      </c>
      <c r="H262" t="s">
        <v>904</v>
      </c>
      <c r="I262" s="24" t="s">
        <v>906</v>
      </c>
      <c r="J262" s="6" t="s">
        <v>374</v>
      </c>
      <c r="K262" s="6">
        <v>1</v>
      </c>
      <c r="P262" s="19"/>
    </row>
    <row r="263" spans="5:16">
      <c r="E263" s="21" t="s">
        <v>77</v>
      </c>
      <c r="F263" s="20"/>
      <c r="G263" s="22" t="s">
        <v>887</v>
      </c>
      <c r="H263" t="s">
        <v>905</v>
      </c>
      <c r="I263" s="24" t="s">
        <v>906</v>
      </c>
      <c r="J263" s="6" t="s">
        <v>374</v>
      </c>
      <c r="K263" s="6">
        <v>1</v>
      </c>
      <c r="P263" s="19"/>
    </row>
    <row r="264" spans="5:16">
      <c r="E264" s="21" t="s">
        <v>78</v>
      </c>
      <c r="F264" s="20"/>
      <c r="G264" s="22" t="s">
        <v>287</v>
      </c>
      <c r="H264" t="s">
        <v>838</v>
      </c>
      <c r="I264" s="24" t="s">
        <v>907</v>
      </c>
      <c r="J264" s="6" t="s">
        <v>374</v>
      </c>
      <c r="K264" s="6">
        <v>1</v>
      </c>
      <c r="P264" s="19"/>
    </row>
    <row r="265" spans="5:16">
      <c r="E265" s="21" t="s">
        <v>78</v>
      </c>
      <c r="F265" s="20"/>
      <c r="G265" s="22" t="s">
        <v>288</v>
      </c>
      <c r="H265" t="s">
        <v>839</v>
      </c>
      <c r="I265" s="24" t="s">
        <v>908</v>
      </c>
      <c r="J265" s="6" t="s">
        <v>374</v>
      </c>
      <c r="K265" s="6">
        <v>20</v>
      </c>
      <c r="P265" s="19"/>
    </row>
    <row r="266" spans="5:16">
      <c r="E266" s="21" t="s">
        <v>78</v>
      </c>
      <c r="F266" s="20"/>
      <c r="G266" s="22" t="s">
        <v>289</v>
      </c>
      <c r="H266" t="s">
        <v>840</v>
      </c>
      <c r="I266" s="24" t="s">
        <v>907</v>
      </c>
      <c r="J266" s="6" t="s">
        <v>374</v>
      </c>
      <c r="K266" s="6">
        <v>1</v>
      </c>
      <c r="P266" s="19"/>
    </row>
    <row r="267" spans="5:16">
      <c r="E267" s="21" t="s">
        <v>78</v>
      </c>
      <c r="F267" s="20"/>
      <c r="G267" s="22" t="s">
        <v>290</v>
      </c>
      <c r="H267" t="s">
        <v>841</v>
      </c>
      <c r="I267" s="24" t="s">
        <v>907</v>
      </c>
      <c r="J267" s="6" t="s">
        <v>374</v>
      </c>
      <c r="K267" s="6">
        <v>1</v>
      </c>
      <c r="P267" s="19"/>
    </row>
    <row r="268" spans="5:16">
      <c r="E268" s="21" t="s">
        <v>78</v>
      </c>
      <c r="F268" s="20"/>
      <c r="G268" s="22" t="s">
        <v>291</v>
      </c>
      <c r="H268" t="s">
        <v>842</v>
      </c>
      <c r="I268" s="24" t="s">
        <v>907</v>
      </c>
      <c r="J268" s="6" t="s">
        <v>374</v>
      </c>
      <c r="K268" s="6">
        <v>1</v>
      </c>
      <c r="P268" s="19"/>
    </row>
    <row r="269" spans="5:16">
      <c r="E269" s="21" t="s">
        <v>78</v>
      </c>
      <c r="F269" s="20"/>
      <c r="G269" s="22" t="s">
        <v>292</v>
      </c>
      <c r="H269" t="s">
        <v>843</v>
      </c>
      <c r="I269" s="24" t="s">
        <v>907</v>
      </c>
      <c r="J269" s="6" t="s">
        <v>374</v>
      </c>
      <c r="K269" s="6">
        <v>1</v>
      </c>
      <c r="P269" s="19"/>
    </row>
    <row r="270" spans="5:16">
      <c r="E270" s="21" t="s">
        <v>78</v>
      </c>
      <c r="F270" s="20"/>
      <c r="G270" s="22" t="s">
        <v>293</v>
      </c>
      <c r="H270" t="s">
        <v>844</v>
      </c>
      <c r="I270" s="24" t="s">
        <v>909</v>
      </c>
      <c r="J270" s="6" t="s">
        <v>374</v>
      </c>
      <c r="K270" s="6">
        <v>26</v>
      </c>
      <c r="P270" s="19"/>
    </row>
    <row r="271" spans="5:16">
      <c r="E271" s="21" t="s">
        <v>78</v>
      </c>
      <c r="F271" s="20"/>
      <c r="G271" s="22" t="s">
        <v>294</v>
      </c>
      <c r="H271" t="s">
        <v>839</v>
      </c>
      <c r="I271" s="24" t="s">
        <v>910</v>
      </c>
      <c r="J271" s="6" t="s">
        <v>374</v>
      </c>
      <c r="K271" s="6">
        <v>13</v>
      </c>
      <c r="P271" s="19"/>
    </row>
    <row r="272" spans="5:16">
      <c r="E272" s="21" t="s">
        <v>78</v>
      </c>
      <c r="F272" s="20"/>
      <c r="G272" s="22" t="s">
        <v>295</v>
      </c>
      <c r="H272" t="s">
        <v>845</v>
      </c>
      <c r="I272" s="24" t="s">
        <v>911</v>
      </c>
      <c r="J272" s="6" t="s">
        <v>374</v>
      </c>
      <c r="K272" s="6">
        <v>12</v>
      </c>
      <c r="P272" s="19"/>
    </row>
    <row r="273" spans="1:16">
      <c r="E273" s="21" t="s">
        <v>78</v>
      </c>
      <c r="F273" s="20"/>
      <c r="G273" s="22" t="s">
        <v>296</v>
      </c>
      <c r="H273" t="s">
        <v>846</v>
      </c>
      <c r="I273" s="24" t="s">
        <v>911</v>
      </c>
      <c r="J273" s="6" t="s">
        <v>374</v>
      </c>
      <c r="K273" s="6">
        <v>1</v>
      </c>
      <c r="P273" s="19"/>
    </row>
    <row r="274" spans="1:16">
      <c r="E274" s="21" t="s">
        <v>78</v>
      </c>
      <c r="F274" s="20"/>
      <c r="G274" s="22" t="s">
        <v>297</v>
      </c>
      <c r="H274" t="s">
        <v>847</v>
      </c>
      <c r="I274" s="24" t="s">
        <v>912</v>
      </c>
      <c r="J274" s="6" t="s">
        <v>374</v>
      </c>
      <c r="K274" s="6">
        <v>3</v>
      </c>
      <c r="P274" s="19"/>
    </row>
    <row r="275" spans="1:16">
      <c r="E275" s="21" t="s">
        <v>78</v>
      </c>
      <c r="F275" s="20"/>
      <c r="G275" s="22" t="s">
        <v>298</v>
      </c>
      <c r="H275" t="s">
        <v>848</v>
      </c>
      <c r="I275" s="24" t="s">
        <v>913</v>
      </c>
      <c r="J275" s="6" t="s">
        <v>374</v>
      </c>
      <c r="K275" s="6">
        <v>1</v>
      </c>
      <c r="P275" s="19"/>
    </row>
    <row r="276" spans="1:16">
      <c r="E276" s="21" t="s">
        <v>78</v>
      </c>
      <c r="F276" s="20"/>
      <c r="G276" s="22" t="s">
        <v>299</v>
      </c>
      <c r="H276" t="s">
        <v>849</v>
      </c>
      <c r="I276" s="24" t="s">
        <v>914</v>
      </c>
      <c r="J276" s="6" t="s">
        <v>374</v>
      </c>
      <c r="K276" s="6">
        <v>1</v>
      </c>
      <c r="P276" s="19"/>
    </row>
    <row r="277" spans="1:16" ht="14.25" customHeight="1">
      <c r="E277" s="21" t="s">
        <v>78</v>
      </c>
      <c r="F277" s="20"/>
      <c r="G277" s="22" t="s">
        <v>300</v>
      </c>
      <c r="H277" t="s">
        <v>839</v>
      </c>
      <c r="I277" s="24" t="s">
        <v>910</v>
      </c>
      <c r="J277" s="6" t="s">
        <v>374</v>
      </c>
      <c r="K277" s="6">
        <v>9</v>
      </c>
      <c r="P277" s="19"/>
    </row>
    <row r="278" spans="1:16">
      <c r="A278" s="2">
        <v>2</v>
      </c>
      <c r="B278" t="str">
        <f>IFERROR((_xlfn.XLOOKUP(A278,Diretriz!A:A,Diretriz!B:B)),"")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78" s="2" t="s">
        <v>11</v>
      </c>
      <c r="D278" t="str">
        <f>IFERROR((_xlfn.XLOOKUP(C278,Objetivo!C:C,Objetivo!D:D)), "")</f>
        <v>Ampliar e modernizar a infraestrutura de unidades de saúde, de acordo com perfil assistencial definido.</v>
      </c>
      <c r="E278" s="21" t="s">
        <v>78</v>
      </c>
      <c r="F278" s="20"/>
      <c r="G278" s="22" t="s">
        <v>863</v>
      </c>
      <c r="H278" t="s">
        <v>850</v>
      </c>
      <c r="I278" s="24" t="s">
        <v>915</v>
      </c>
      <c r="J278" s="6" t="s">
        <v>374</v>
      </c>
      <c r="K278" s="6">
        <v>1</v>
      </c>
      <c r="P278" s="19"/>
    </row>
    <row r="279" spans="1:16">
      <c r="A279" s="2">
        <v>2</v>
      </c>
      <c r="B279" t="str">
        <f>IFERROR((_xlfn.XLOOKUP(A279,Diretriz!A:A,Diretriz!B:B)),"")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79" s="2" t="s">
        <v>11</v>
      </c>
      <c r="D279" t="str">
        <f>IFERROR((_xlfn.XLOOKUP(C279,Objetivo!C:C,Objetivo!D:D)), "")</f>
        <v>Ampliar e modernizar a infraestrutura de unidades de saúde, de acordo com perfil assistencial definido.</v>
      </c>
      <c r="E279" s="21" t="s">
        <v>78</v>
      </c>
      <c r="F279" s="20"/>
      <c r="G279" s="22" t="s">
        <v>864</v>
      </c>
      <c r="H279" t="s">
        <v>851</v>
      </c>
      <c r="I279" s="24" t="s">
        <v>915</v>
      </c>
      <c r="J279" s="6" t="s">
        <v>374</v>
      </c>
      <c r="K279" s="6">
        <v>1</v>
      </c>
      <c r="P279" s="19"/>
    </row>
    <row r="280" spans="1:16">
      <c r="A280" s="2">
        <v>2</v>
      </c>
      <c r="B280" t="str">
        <f>IFERROR((_xlfn.XLOOKUP(A280,Diretriz!A:A,Diretriz!B:B)),"")</f>
        <v>Fortalecimento da Assistência Especializada em Saúde, de Média e Alta Complexidade, de forma ascendente e regionalizada, contemplando as demandas específicas das regiões de saúde, aperfeiçoando o sistema de regulação, garantindo a oferta de serviços de saúde.</v>
      </c>
      <c r="C280" s="2" t="s">
        <v>11</v>
      </c>
      <c r="D280" t="str">
        <f>IFERROR((_xlfn.XLOOKUP(C280,Objetivo!C:C,Objetivo!D:D)), "")</f>
        <v>Ampliar e modernizar a infraestrutura de unidades de saúde, de acordo com perfil assistencial definido.</v>
      </c>
      <c r="E280" s="21" t="s">
        <v>78</v>
      </c>
      <c r="F280" s="20"/>
      <c r="G280" s="22" t="s">
        <v>865</v>
      </c>
      <c r="H280" t="s">
        <v>852</v>
      </c>
      <c r="I280" s="24" t="s">
        <v>916</v>
      </c>
      <c r="J280" s="6" t="s">
        <v>374</v>
      </c>
      <c r="K280" s="6">
        <v>11</v>
      </c>
      <c r="P280" s="19"/>
    </row>
    <row r="281" spans="1:16">
      <c r="A281" s="2">
        <v>3</v>
      </c>
      <c r="B281" t="str">
        <f>IFERROR((_xlfn.XLOOKUP(A281,Diretriz!A:A,Diretriz!B:B)),"")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1" s="2" t="s">
        <v>13</v>
      </c>
      <c r="D281" t="str">
        <f>IFERROR((_xlfn.XLOOKUP(C281,Objetivo!C:C,Objetivo!D:D)), "")</f>
        <v>Aprimorar o planejamento, o monitoramento e a avaliação da política de saúde, a nível estadual, e apoiar os municípios no âmbito da gestão do SUS.</v>
      </c>
      <c r="E281" s="21" t="s">
        <v>78</v>
      </c>
      <c r="F281" s="20"/>
      <c r="G281" s="22" t="s">
        <v>866</v>
      </c>
      <c r="H281" t="s">
        <v>117</v>
      </c>
      <c r="I281" s="24" t="s">
        <v>907</v>
      </c>
      <c r="J281" s="6" t="s">
        <v>374</v>
      </c>
      <c r="K281" s="6">
        <v>1</v>
      </c>
      <c r="P281" s="19"/>
    </row>
    <row r="282" spans="1:16">
      <c r="A282" s="2">
        <v>3</v>
      </c>
      <c r="B282" t="str">
        <f>IFERROR((_xlfn.XLOOKUP(A282,Diretriz!A:A,Diretriz!B:B)),"")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2" s="2" t="s">
        <v>13</v>
      </c>
      <c r="D282" t="str">
        <f>IFERROR((_xlfn.XLOOKUP(C282,Objetivo!C:C,Objetivo!D:D)), "")</f>
        <v>Aprimorar o planejamento, o monitoramento e a avaliação da política de saúde, a nível estadual, e apoiar os municípios no âmbito da gestão do SUS.</v>
      </c>
      <c r="E282" s="21" t="s">
        <v>78</v>
      </c>
      <c r="F282" s="20"/>
      <c r="G282" s="22" t="s">
        <v>867</v>
      </c>
      <c r="H282" t="s">
        <v>853</v>
      </c>
      <c r="I282" s="24" t="s">
        <v>907</v>
      </c>
      <c r="J282" s="6" t="s">
        <v>374</v>
      </c>
      <c r="K282" s="6">
        <v>1</v>
      </c>
      <c r="P282" s="19"/>
    </row>
    <row r="283" spans="1:16">
      <c r="A283" s="2">
        <v>3</v>
      </c>
      <c r="B283" t="str">
        <f>IFERROR((_xlfn.XLOOKUP(A283,Diretriz!A:A,Diretriz!B:B)),"")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3" s="2" t="s">
        <v>13</v>
      </c>
      <c r="D283" t="str">
        <f>IFERROR((_xlfn.XLOOKUP(C283,Objetivo!C:C,Objetivo!D:D)), "")</f>
        <v>Aprimorar o planejamento, o monitoramento e a avaliação da política de saúde, a nível estadual, e apoiar os municípios no âmbito da gestão do SUS.</v>
      </c>
      <c r="E283" s="21" t="s">
        <v>78</v>
      </c>
      <c r="F283" s="20"/>
      <c r="G283" s="22" t="s">
        <v>868</v>
      </c>
      <c r="H283" t="s">
        <v>852</v>
      </c>
      <c r="I283" s="24" t="s">
        <v>908</v>
      </c>
      <c r="J283" s="6" t="s">
        <v>374</v>
      </c>
      <c r="K283" s="6">
        <v>15</v>
      </c>
      <c r="P283" s="19"/>
    </row>
    <row r="284" spans="1:16">
      <c r="A284" s="2">
        <v>3</v>
      </c>
      <c r="B284" t="str">
        <f>IFERROR((_xlfn.XLOOKUP(A284,Diretriz!A:A,Diretriz!B:B)),"")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4" s="2" t="s">
        <v>13</v>
      </c>
      <c r="D284" t="str">
        <f>IFERROR((_xlfn.XLOOKUP(C284,Objetivo!C:C,Objetivo!D:D)), "")</f>
        <v>Aprimorar o planejamento, o monitoramento e a avaliação da política de saúde, a nível estadual, e apoiar os municípios no âmbito da gestão do SUS.</v>
      </c>
      <c r="E284" s="21" t="s">
        <v>78</v>
      </c>
      <c r="F284" s="20"/>
      <c r="G284" s="22" t="s">
        <v>869</v>
      </c>
      <c r="H284" t="s">
        <v>854</v>
      </c>
      <c r="I284" s="24" t="s">
        <v>917</v>
      </c>
      <c r="J284" s="6" t="s">
        <v>374</v>
      </c>
      <c r="K284" s="6">
        <v>1</v>
      </c>
      <c r="P284" s="19"/>
    </row>
    <row r="285" spans="1:16">
      <c r="A285" s="2">
        <v>3</v>
      </c>
      <c r="B285" t="str">
        <f>IFERROR((_xlfn.XLOOKUP(A285,Diretriz!A:A,Diretriz!B:B)),"")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5" s="2" t="s">
        <v>13</v>
      </c>
      <c r="D285" t="str">
        <f>IFERROR((_xlfn.XLOOKUP(C285,Objetivo!C:C,Objetivo!D:D)), "")</f>
        <v>Aprimorar o planejamento, o monitoramento e a avaliação da política de saúde, a nível estadual, e apoiar os municípios no âmbito da gestão do SUS.</v>
      </c>
      <c r="E285" s="21" t="s">
        <v>78</v>
      </c>
      <c r="F285" s="20"/>
      <c r="G285" s="22" t="s">
        <v>870</v>
      </c>
      <c r="H285" t="s">
        <v>839</v>
      </c>
      <c r="I285" s="24" t="s">
        <v>918</v>
      </c>
      <c r="J285" s="6" t="s">
        <v>374</v>
      </c>
      <c r="K285" s="6">
        <v>18</v>
      </c>
      <c r="P285" s="19"/>
    </row>
    <row r="286" spans="1:16">
      <c r="A286" s="2">
        <v>3</v>
      </c>
      <c r="B286" t="str">
        <f>IFERROR((_xlfn.XLOOKUP(A286,Diretriz!A:A,Diretriz!B:B)),"")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6" s="2" t="s">
        <v>13</v>
      </c>
      <c r="D286" t="str">
        <f>IFERROR((_xlfn.XLOOKUP(C286,Objetivo!C:C,Objetivo!D:D)), "")</f>
        <v>Aprimorar o planejamento, o monitoramento e a avaliação da política de saúde, a nível estadual, e apoiar os municípios no âmbito da gestão do SUS.</v>
      </c>
      <c r="E286" s="21" t="s">
        <v>78</v>
      </c>
      <c r="F286" s="20"/>
      <c r="G286" s="22" t="s">
        <v>871</v>
      </c>
      <c r="H286" t="s">
        <v>855</v>
      </c>
      <c r="I286" s="24" t="s">
        <v>917</v>
      </c>
      <c r="J286" s="6" t="s">
        <v>374</v>
      </c>
      <c r="K286" s="6">
        <v>1</v>
      </c>
      <c r="P286" s="19"/>
    </row>
    <row r="287" spans="1:16">
      <c r="A287" s="2">
        <v>3</v>
      </c>
      <c r="B287" t="str">
        <f>IFERROR((_xlfn.XLOOKUP(A287,Diretriz!A:A,Diretriz!B:B)),"")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7" s="2" t="s">
        <v>13</v>
      </c>
      <c r="D287" t="str">
        <f>IFERROR((_xlfn.XLOOKUP(C287,Objetivo!C:C,Objetivo!D:D)), "")</f>
        <v>Aprimorar o planejamento, o monitoramento e a avaliação da política de saúde, a nível estadual, e apoiar os municípios no âmbito da gestão do SUS.</v>
      </c>
      <c r="E287" s="21" t="s">
        <v>78</v>
      </c>
      <c r="F287" s="20"/>
      <c r="G287" s="22" t="s">
        <v>872</v>
      </c>
      <c r="H287" t="s">
        <v>856</v>
      </c>
      <c r="I287" s="24" t="s">
        <v>907</v>
      </c>
      <c r="J287" s="6" t="s">
        <v>374</v>
      </c>
      <c r="K287" s="6">
        <v>1</v>
      </c>
      <c r="P287" s="19"/>
    </row>
    <row r="288" spans="1:16">
      <c r="A288" s="2">
        <v>3</v>
      </c>
      <c r="B288" t="str">
        <f>IFERROR((_xlfn.XLOOKUP(A288,Diretriz!A:A,Diretriz!B:B)),"")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8" s="2" t="s">
        <v>13</v>
      </c>
      <c r="D288" t="str">
        <f>IFERROR((_xlfn.XLOOKUP(C288,Objetivo!C:C,Objetivo!D:D)), "")</f>
        <v>Aprimorar o planejamento, o monitoramento e a avaliação da política de saúde, a nível estadual, e apoiar os municípios no âmbito da gestão do SUS.</v>
      </c>
      <c r="E288" s="21" t="s">
        <v>78</v>
      </c>
      <c r="F288" s="20"/>
      <c r="G288" s="22" t="s">
        <v>873</v>
      </c>
      <c r="H288" t="s">
        <v>857</v>
      </c>
      <c r="I288" s="24" t="s">
        <v>907</v>
      </c>
      <c r="J288" s="6" t="s">
        <v>374</v>
      </c>
      <c r="K288" s="6">
        <v>1</v>
      </c>
      <c r="P288" s="19"/>
    </row>
    <row r="289" spans="1:16">
      <c r="A289" s="2">
        <v>3</v>
      </c>
      <c r="B289" t="str">
        <f>IFERROR((_xlfn.XLOOKUP(A289,Diretriz!A:A,Diretriz!B:B)),"")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89" s="2" t="s">
        <v>13</v>
      </c>
      <c r="D289" t="str">
        <f>IFERROR((_xlfn.XLOOKUP(C289,Objetivo!C:C,Objetivo!D:D)), "")</f>
        <v>Aprimorar o planejamento, o monitoramento e a avaliação da política de saúde, a nível estadual, e apoiar os municípios no âmbito da gestão do SUS.</v>
      </c>
      <c r="E289" s="21" t="s">
        <v>78</v>
      </c>
      <c r="F289" s="20"/>
      <c r="G289" s="22" t="s">
        <v>874</v>
      </c>
      <c r="H289" t="s">
        <v>839</v>
      </c>
      <c r="I289" s="24" t="s">
        <v>908</v>
      </c>
      <c r="J289" s="6" t="s">
        <v>374</v>
      </c>
      <c r="K289" s="6">
        <v>5</v>
      </c>
      <c r="P289" s="19"/>
    </row>
    <row r="290" spans="1:16">
      <c r="A290" s="2">
        <v>3</v>
      </c>
      <c r="B290" t="str">
        <f>IFERROR((_xlfn.XLOOKUP(A290,Diretriz!A:A,Diretriz!B:B)),"")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0" s="2" t="s">
        <v>13</v>
      </c>
      <c r="D290" t="str">
        <f>IFERROR((_xlfn.XLOOKUP(C290,Objetivo!C:C,Objetivo!D:D)), "")</f>
        <v>Aprimorar o planejamento, o monitoramento e a avaliação da política de saúde, a nível estadual, e apoiar os municípios no âmbito da gestão do SUS.</v>
      </c>
      <c r="E290" s="21" t="s">
        <v>78</v>
      </c>
      <c r="F290" s="20"/>
      <c r="G290" s="22" t="s">
        <v>875</v>
      </c>
      <c r="H290" t="s">
        <v>858</v>
      </c>
      <c r="I290" s="24" t="s">
        <v>907</v>
      </c>
      <c r="J290" s="6" t="s">
        <v>374</v>
      </c>
      <c r="K290" s="6">
        <v>1</v>
      </c>
      <c r="P290" s="19"/>
    </row>
    <row r="291" spans="1:16">
      <c r="A291" s="2">
        <v>3</v>
      </c>
      <c r="B291" t="str">
        <f>IFERROR((_xlfn.XLOOKUP(A291,Diretriz!A:A,Diretriz!B:B)),"")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1" s="2" t="s">
        <v>13</v>
      </c>
      <c r="D291" t="str">
        <f>IFERROR((_xlfn.XLOOKUP(C291,Objetivo!C:C,Objetivo!D:D)), "")</f>
        <v>Aprimorar o planejamento, o monitoramento e a avaliação da política de saúde, a nível estadual, e apoiar os municípios no âmbito da gestão do SUS.</v>
      </c>
      <c r="E291" s="21" t="s">
        <v>78</v>
      </c>
      <c r="F291" s="20"/>
      <c r="G291" s="22" t="s">
        <v>876</v>
      </c>
      <c r="H291" t="s">
        <v>859</v>
      </c>
      <c r="I291" s="24" t="s">
        <v>907</v>
      </c>
      <c r="J291" s="6" t="s">
        <v>374</v>
      </c>
      <c r="K291" s="6">
        <v>1</v>
      </c>
      <c r="P291" s="19"/>
    </row>
    <row r="292" spans="1:16">
      <c r="A292" s="2">
        <v>3</v>
      </c>
      <c r="B292" t="str">
        <f>IFERROR((_xlfn.XLOOKUP(A292,Diretriz!A:A,Diretriz!B:B)),"")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2" s="2" t="s">
        <v>13</v>
      </c>
      <c r="D292" t="str">
        <f>IFERROR((_xlfn.XLOOKUP(C292,Objetivo!C:C,Objetivo!D:D)), "")</f>
        <v>Aprimorar o planejamento, o monitoramento e a avaliação da política de saúde, a nível estadual, e apoiar os municípios no âmbito da gestão do SUS.</v>
      </c>
      <c r="E292" s="21" t="s">
        <v>78</v>
      </c>
      <c r="F292" s="20"/>
      <c r="G292" s="22" t="s">
        <v>877</v>
      </c>
      <c r="H292" t="s">
        <v>860</v>
      </c>
      <c r="I292" s="24" t="s">
        <v>907</v>
      </c>
      <c r="J292" s="6" t="s">
        <v>374</v>
      </c>
      <c r="K292" s="6">
        <v>1</v>
      </c>
      <c r="P292" s="19"/>
    </row>
    <row r="293" spans="1:16">
      <c r="A293" s="2">
        <v>3</v>
      </c>
      <c r="B293" t="str">
        <f>IFERROR((_xlfn.XLOOKUP(A293,Diretriz!A:A,Diretriz!B:B)),"")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3" s="2" t="s">
        <v>13</v>
      </c>
      <c r="D293" t="str">
        <f>IFERROR((_xlfn.XLOOKUP(C293,Objetivo!C:C,Objetivo!D:D)), "")</f>
        <v>Aprimorar o planejamento, o monitoramento e a avaliação da política de saúde, a nível estadual, e apoiar os municípios no âmbito da gestão do SUS.</v>
      </c>
      <c r="E293" s="21" t="s">
        <v>78</v>
      </c>
      <c r="F293" s="20"/>
      <c r="G293" s="22" t="s">
        <v>878</v>
      </c>
      <c r="H293" t="s">
        <v>861</v>
      </c>
      <c r="I293" s="24" t="s">
        <v>907</v>
      </c>
      <c r="J293" s="6" t="s">
        <v>374</v>
      </c>
      <c r="K293" s="6">
        <v>1</v>
      </c>
      <c r="P293" s="19"/>
    </row>
    <row r="294" spans="1:16">
      <c r="A294" s="2">
        <v>3</v>
      </c>
      <c r="B294" t="str">
        <f>IFERROR((_xlfn.XLOOKUP(A294,Diretriz!A:A,Diretriz!B:B)),"")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4" s="2" t="s">
        <v>13</v>
      </c>
      <c r="D294" t="str">
        <f>IFERROR((_xlfn.XLOOKUP(C294,Objetivo!C:C,Objetivo!D:D)), "")</f>
        <v>Aprimorar o planejamento, o monitoramento e a avaliação da política de saúde, a nível estadual, e apoiar os municípios no âmbito da gestão do SUS.</v>
      </c>
      <c r="E294" s="21" t="s">
        <v>78</v>
      </c>
      <c r="F294" s="20"/>
      <c r="G294" s="22" t="s">
        <v>879</v>
      </c>
      <c r="H294" t="s">
        <v>862</v>
      </c>
      <c r="I294" s="24" t="s">
        <v>907</v>
      </c>
      <c r="J294" s="6" t="s">
        <v>374</v>
      </c>
      <c r="K294" s="6">
        <v>1</v>
      </c>
      <c r="P294" s="19"/>
    </row>
    <row r="295" spans="1:16">
      <c r="A295" s="2">
        <v>3</v>
      </c>
      <c r="B295" t="str">
        <f>IFERROR((_xlfn.XLOOKUP(A295,Diretriz!A:A,Diretriz!B:B)),"")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5" s="2" t="s">
        <v>13</v>
      </c>
      <c r="D295" t="str">
        <f>IFERROR((_xlfn.XLOOKUP(C295,Objetivo!C:C,Objetivo!D:D)), "")</f>
        <v>Aprimorar o planejamento, o monitoramento e a avaliação da política de saúde, a nível estadual, e apoiar os municípios no âmbito da gestão do SUS.</v>
      </c>
      <c r="E295" s="21" t="s">
        <v>78</v>
      </c>
      <c r="F295" s="20"/>
      <c r="G295" s="22" t="s">
        <v>880</v>
      </c>
      <c r="H295" t="s">
        <v>839</v>
      </c>
      <c r="I295" s="24" t="s">
        <v>908</v>
      </c>
      <c r="J295" s="6" t="s">
        <v>374</v>
      </c>
      <c r="K295" s="6">
        <v>6</v>
      </c>
      <c r="P295" s="19"/>
    </row>
    <row r="296" spans="1:16">
      <c r="A296" s="2">
        <v>3</v>
      </c>
      <c r="B296" t="str">
        <f>IFERROR((_xlfn.XLOOKUP(A296,Diretriz!A:A,Diretriz!B:B)),"")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6" s="2" t="s">
        <v>13</v>
      </c>
      <c r="D296" t="str">
        <f>IFERROR((_xlfn.XLOOKUP(C296,Objetivo!C:C,Objetivo!D:D)), "")</f>
        <v>Aprimorar o planejamento, o monitoramento e a avaliação da política de saúde, a nível estadual, e apoiar os municípios no âmbito da gestão do SUS.</v>
      </c>
      <c r="E296" s="21" t="s">
        <v>14</v>
      </c>
      <c r="F296" s="20"/>
      <c r="G296" s="22" t="s">
        <v>924</v>
      </c>
      <c r="H296" t="s">
        <v>919</v>
      </c>
      <c r="I296" s="24" t="s">
        <v>457</v>
      </c>
      <c r="J296" s="6" t="s">
        <v>374</v>
      </c>
      <c r="K296" s="6">
        <v>8</v>
      </c>
      <c r="P296" s="19"/>
    </row>
    <row r="297" spans="1:16">
      <c r="A297" s="2">
        <v>3</v>
      </c>
      <c r="B297" t="str">
        <f>IFERROR((_xlfn.XLOOKUP(A297,Diretriz!A:A,Diretriz!B:B)),"")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7" s="2" t="s">
        <v>13</v>
      </c>
      <c r="D297" t="str">
        <f>IFERROR((_xlfn.XLOOKUP(C297,Objetivo!C:C,Objetivo!D:D)), "")</f>
        <v>Aprimorar o planejamento, o monitoramento e a avaliação da política de saúde, a nível estadual, e apoiar os municípios no âmbito da gestão do SUS.</v>
      </c>
      <c r="E297" s="21" t="s">
        <v>14</v>
      </c>
      <c r="F297" s="20"/>
      <c r="G297" s="22" t="s">
        <v>925</v>
      </c>
      <c r="H297" t="s">
        <v>920</v>
      </c>
      <c r="I297" s="24" t="s">
        <v>457</v>
      </c>
      <c r="J297" s="6" t="s">
        <v>374</v>
      </c>
      <c r="K297" s="6">
        <v>8</v>
      </c>
      <c r="P297" s="19"/>
    </row>
    <row r="298" spans="1:16">
      <c r="A298" s="2">
        <v>3</v>
      </c>
      <c r="B298" t="str">
        <f>IFERROR((_xlfn.XLOOKUP(A298,Diretriz!A:A,Diretriz!B:B)),"")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8" s="2" t="s">
        <v>13</v>
      </c>
      <c r="D298" t="str">
        <f>IFERROR((_xlfn.XLOOKUP(C298,Objetivo!C:C,Objetivo!D:D)), "")</f>
        <v>Aprimorar o planejamento, o monitoramento e a avaliação da política de saúde, a nível estadual, e apoiar os municípios no âmbito da gestão do SUS.</v>
      </c>
      <c r="E298" s="21" t="s">
        <v>14</v>
      </c>
      <c r="F298" s="20"/>
      <c r="G298" s="22" t="s">
        <v>926</v>
      </c>
      <c r="H298" t="s">
        <v>921</v>
      </c>
      <c r="I298" s="24" t="s">
        <v>457</v>
      </c>
      <c r="J298" s="6" t="s">
        <v>374</v>
      </c>
      <c r="K298" s="6">
        <v>2</v>
      </c>
      <c r="P298" s="19"/>
    </row>
    <row r="299" spans="1:16">
      <c r="A299" s="2">
        <v>3</v>
      </c>
      <c r="B299" t="str">
        <f>IFERROR((_xlfn.XLOOKUP(A299,Diretriz!A:A,Diretriz!B:B)),"")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299" s="2" t="s">
        <v>13</v>
      </c>
      <c r="D299" t="str">
        <f>IFERROR((_xlfn.XLOOKUP(C299,Objetivo!C:C,Objetivo!D:D)), "")</f>
        <v>Aprimorar o planejamento, o monitoramento e a avaliação da política de saúde, a nível estadual, e apoiar os municípios no âmbito da gestão do SUS.</v>
      </c>
      <c r="E299" s="21" t="s">
        <v>14</v>
      </c>
      <c r="F299" s="20"/>
      <c r="G299" s="22" t="s">
        <v>927</v>
      </c>
      <c r="H299" t="s">
        <v>922</v>
      </c>
      <c r="I299" s="24" t="s">
        <v>457</v>
      </c>
      <c r="J299" s="6" t="s">
        <v>374</v>
      </c>
      <c r="K299" s="6">
        <v>1</v>
      </c>
      <c r="P299" s="19"/>
    </row>
    <row r="300" spans="1:16">
      <c r="A300" s="2">
        <v>3</v>
      </c>
      <c r="B300" t="str">
        <f>IFERROR((_xlfn.XLOOKUP(A300,Diretriz!A:A,Diretriz!B:B)),"")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0" s="2" t="s">
        <v>13</v>
      </c>
      <c r="D300" t="str">
        <f>IFERROR((_xlfn.XLOOKUP(C300,Objetivo!C:C,Objetivo!D:D)), "")</f>
        <v>Aprimorar o planejamento, o monitoramento e a avaliação da política de saúde, a nível estadual, e apoiar os municípios no âmbito da gestão do SUS.</v>
      </c>
      <c r="E300" s="21" t="s">
        <v>14</v>
      </c>
      <c r="F300" s="20"/>
      <c r="G300" s="22" t="s">
        <v>928</v>
      </c>
      <c r="H300" t="s">
        <v>923</v>
      </c>
      <c r="I300" s="24" t="s">
        <v>306</v>
      </c>
      <c r="J300" s="6" t="s">
        <v>374</v>
      </c>
      <c r="K300" s="6">
        <v>1</v>
      </c>
      <c r="P300" s="19"/>
    </row>
    <row r="301" spans="1:16" ht="15.75" customHeight="1">
      <c r="A301" s="2">
        <v>3</v>
      </c>
      <c r="B301" t="str">
        <f>IFERROR((_xlfn.XLOOKUP(A301,Diretriz!A:A,Diretriz!B:B)),"")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1" s="2" t="s">
        <v>13</v>
      </c>
      <c r="D301" t="str">
        <f>IFERROR((_xlfn.XLOOKUP(C301,Objetivo!C:C,Objetivo!D:D)), "")</f>
        <v>Aprimorar o planejamento, o monitoramento e a avaliação da política de saúde, a nível estadual, e apoiar os municípios no âmbito da gestão do SUS.</v>
      </c>
      <c r="E301" s="21" t="s">
        <v>19</v>
      </c>
      <c r="F301" s="20"/>
      <c r="G301" s="22" t="s">
        <v>929</v>
      </c>
      <c r="H301" t="s">
        <v>930</v>
      </c>
      <c r="I301" s="24" t="s">
        <v>931</v>
      </c>
      <c r="J301" s="6" t="s">
        <v>374</v>
      </c>
      <c r="K301" s="6">
        <v>4</v>
      </c>
      <c r="P301" s="19"/>
    </row>
    <row r="302" spans="1:16">
      <c r="A302" s="2">
        <v>3</v>
      </c>
      <c r="B302" t="str">
        <f>IFERROR((_xlfn.XLOOKUP(A302,Diretriz!A:A,Diretriz!B:B)),"")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2" s="2" t="s">
        <v>13</v>
      </c>
      <c r="D302" t="str">
        <f>IFERROR((_xlfn.XLOOKUP(C302,Objetivo!C:C,Objetivo!D:D)), "")</f>
        <v>Aprimorar o planejamento, o monitoramento e a avaliação da política de saúde, a nível estadual, e apoiar os municípios no âmbito da gestão do SUS.</v>
      </c>
      <c r="E302" s="21" t="s">
        <v>20</v>
      </c>
      <c r="F302" s="20"/>
      <c r="G302" s="22" t="s">
        <v>932</v>
      </c>
      <c r="H302" t="s">
        <v>933</v>
      </c>
      <c r="I302" s="24" t="s">
        <v>939</v>
      </c>
      <c r="J302" s="6" t="s">
        <v>374</v>
      </c>
      <c r="K302" s="6">
        <v>50</v>
      </c>
      <c r="P302" s="19"/>
    </row>
    <row r="303" spans="1:16">
      <c r="A303" s="2">
        <v>3</v>
      </c>
      <c r="B303" t="str">
        <f>IFERROR((_xlfn.XLOOKUP(A303,Diretriz!A:A,Diretriz!B:B)),"")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3" s="2" t="s">
        <v>13</v>
      </c>
      <c r="D303" t="str">
        <f>IFERROR((_xlfn.XLOOKUP(C303,Objetivo!C:C,Objetivo!D:D)), "")</f>
        <v>Aprimorar o planejamento, o monitoramento e a avaliação da política de saúde, a nível estadual, e apoiar os municípios no âmbito da gestão do SUS.</v>
      </c>
      <c r="E303" s="21" t="s">
        <v>20</v>
      </c>
      <c r="F303" s="20"/>
      <c r="G303" s="22" t="s">
        <v>940</v>
      </c>
      <c r="H303" t="s">
        <v>934</v>
      </c>
      <c r="I303" s="24" t="s">
        <v>939</v>
      </c>
      <c r="J303" s="6" t="s">
        <v>374</v>
      </c>
      <c r="K303" s="6">
        <v>723</v>
      </c>
      <c r="P303" s="19"/>
    </row>
    <row r="304" spans="1:16">
      <c r="A304" s="2">
        <v>3</v>
      </c>
      <c r="B304" t="str">
        <f>IFERROR((_xlfn.XLOOKUP(A304,Diretriz!A:A,Diretriz!B:B)),"")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4" s="2" t="s">
        <v>13</v>
      </c>
      <c r="D304" t="str">
        <f>IFERROR((_xlfn.XLOOKUP(C304,Objetivo!C:C,Objetivo!D:D)), "")</f>
        <v>Aprimorar o planejamento, o monitoramento e a avaliação da política de saúde, a nível estadual, e apoiar os municípios no âmbito da gestão do SUS.</v>
      </c>
      <c r="E304" s="21" t="s">
        <v>20</v>
      </c>
      <c r="F304" s="20"/>
      <c r="G304" s="22" t="s">
        <v>941</v>
      </c>
      <c r="H304" t="s">
        <v>935</v>
      </c>
      <c r="I304" s="24" t="s">
        <v>939</v>
      </c>
      <c r="J304" s="6" t="s">
        <v>374</v>
      </c>
      <c r="K304" s="6">
        <v>4</v>
      </c>
      <c r="P304" s="19"/>
    </row>
    <row r="305" spans="1:16">
      <c r="A305" s="2">
        <v>3</v>
      </c>
      <c r="B305" t="str">
        <f>IFERROR((_xlfn.XLOOKUP(A305,Diretriz!A:A,Diretriz!B:B)),"")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5" s="2" t="s">
        <v>15</v>
      </c>
      <c r="D305" t="str">
        <f>IFERROR((_xlfn.XLOOKUP(C305,Objetivo!C:C,Objetivo!D:D)), "")</f>
        <v>Dimensionar, valorizar e qualificar os trabalhadores/as do SUS no Maranhão, a partir da estruturação de uma política da gestão de trabalho e educação na saúde.</v>
      </c>
      <c r="E305" s="21" t="s">
        <v>20</v>
      </c>
      <c r="F305" s="20"/>
      <c r="G305" s="22" t="s">
        <v>942</v>
      </c>
      <c r="H305" t="s">
        <v>936</v>
      </c>
      <c r="I305" s="24" t="s">
        <v>939</v>
      </c>
      <c r="J305" s="6" t="s">
        <v>374</v>
      </c>
      <c r="K305" s="6">
        <v>3</v>
      </c>
      <c r="P305" s="19"/>
    </row>
    <row r="306" spans="1:16">
      <c r="A306" s="2">
        <v>3</v>
      </c>
      <c r="B306" t="str">
        <f>IFERROR((_xlfn.XLOOKUP(A306,Diretriz!A:A,Diretriz!B:B)),"")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6" s="2" t="s">
        <v>15</v>
      </c>
      <c r="D306" t="str">
        <f>IFERROR((_xlfn.XLOOKUP(C306,Objetivo!C:C,Objetivo!D:D)), "")</f>
        <v>Dimensionar, valorizar e qualificar os trabalhadores/as do SUS no Maranhão, a partir da estruturação de uma política da gestão de trabalho e educação na saúde.</v>
      </c>
      <c r="E306" s="21" t="s">
        <v>20</v>
      </c>
      <c r="F306" s="20"/>
      <c r="G306" s="22" t="s">
        <v>943</v>
      </c>
      <c r="H306" t="s">
        <v>937</v>
      </c>
      <c r="I306" s="24" t="s">
        <v>939</v>
      </c>
      <c r="J306" s="6" t="s">
        <v>374</v>
      </c>
      <c r="K306" s="6">
        <v>11</v>
      </c>
      <c r="P306" s="19"/>
    </row>
    <row r="307" spans="1:16">
      <c r="A307" s="2">
        <v>3</v>
      </c>
      <c r="B307" t="str">
        <f>IFERROR((_xlfn.XLOOKUP(A307,Diretriz!A:A,Diretriz!B:B)),"")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7" s="2" t="s">
        <v>15</v>
      </c>
      <c r="D307" t="str">
        <f>IFERROR((_xlfn.XLOOKUP(C307,Objetivo!C:C,Objetivo!D:D)), "")</f>
        <v>Dimensionar, valorizar e qualificar os trabalhadores/as do SUS no Maranhão, a partir da estruturação de uma política da gestão de trabalho e educação na saúde.</v>
      </c>
      <c r="E307" s="21" t="s">
        <v>20</v>
      </c>
      <c r="F307" s="20"/>
      <c r="G307" s="22" t="s">
        <v>944</v>
      </c>
      <c r="H307" t="s">
        <v>938</v>
      </c>
      <c r="I307" s="24" t="s">
        <v>939</v>
      </c>
      <c r="J307" s="6" t="s">
        <v>374</v>
      </c>
      <c r="K307" s="6">
        <v>12</v>
      </c>
      <c r="P307" s="19"/>
    </row>
    <row r="308" spans="1:16">
      <c r="A308" s="2">
        <v>3</v>
      </c>
      <c r="B308" t="str">
        <f>IFERROR((_xlfn.XLOOKUP(A308,Diretriz!A:A,Diretriz!B:B)),"")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8" s="2" t="s">
        <v>15</v>
      </c>
      <c r="D308" t="str">
        <f>IFERROR((_xlfn.XLOOKUP(C308,Objetivo!C:C,Objetivo!D:D)), "")</f>
        <v>Dimensionar, valorizar e qualificar os trabalhadores/as do SUS no Maranhão, a partir da estruturação de uma política da gestão de trabalho e educação na saúde.</v>
      </c>
      <c r="E308" s="21" t="s">
        <v>21</v>
      </c>
      <c r="F308" s="20"/>
      <c r="G308" s="22" t="s">
        <v>945</v>
      </c>
      <c r="H308" t="s">
        <v>946</v>
      </c>
      <c r="I308" s="24" t="s">
        <v>952</v>
      </c>
      <c r="J308" s="6" t="s">
        <v>374</v>
      </c>
      <c r="K308" s="6">
        <v>37</v>
      </c>
      <c r="P308" s="19"/>
    </row>
    <row r="309" spans="1:16">
      <c r="A309" s="2">
        <v>3</v>
      </c>
      <c r="B309" t="str">
        <f>IFERROR((_xlfn.XLOOKUP(A309,Diretriz!A:A,Diretriz!B:B)),"")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09" s="2" t="s">
        <v>15</v>
      </c>
      <c r="D309" t="str">
        <f>IFERROR((_xlfn.XLOOKUP(C309,Objetivo!C:C,Objetivo!D:D)), "")</f>
        <v>Dimensionar, valorizar e qualificar os trabalhadores/as do SUS no Maranhão, a partir da estruturação de uma política da gestão de trabalho e educação na saúde.</v>
      </c>
      <c r="E309" s="21" t="s">
        <v>21</v>
      </c>
      <c r="F309" s="20"/>
      <c r="G309" s="22" t="s">
        <v>955</v>
      </c>
      <c r="H309" t="s">
        <v>947</v>
      </c>
      <c r="I309" s="24" t="s">
        <v>952</v>
      </c>
      <c r="J309" s="6" t="s">
        <v>374</v>
      </c>
      <c r="K309" s="6">
        <v>64</v>
      </c>
      <c r="P309" s="19"/>
    </row>
    <row r="310" spans="1:16">
      <c r="A310" s="2">
        <v>3</v>
      </c>
      <c r="B310" t="str">
        <f>IFERROR((_xlfn.XLOOKUP(A310,Diretriz!A:A,Diretriz!B:B)),"")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0" s="2" t="s">
        <v>15</v>
      </c>
      <c r="D310" t="str">
        <f>IFERROR((_xlfn.XLOOKUP(C310,Objetivo!C:C,Objetivo!D:D)), "")</f>
        <v>Dimensionar, valorizar e qualificar os trabalhadores/as do SUS no Maranhão, a partir da estruturação de uma política da gestão de trabalho e educação na saúde.</v>
      </c>
      <c r="E310" s="21" t="s">
        <v>21</v>
      </c>
      <c r="F310" s="20" t="str">
        <f>IFERROR(_xlfn.XLOOKUP(E310,#REF!,#REF!), "")</f>
        <v/>
      </c>
      <c r="G310" s="22" t="s">
        <v>956</v>
      </c>
      <c r="H310" t="s">
        <v>948</v>
      </c>
      <c r="I310" s="24" t="s">
        <v>952</v>
      </c>
      <c r="J310" s="6" t="s">
        <v>374</v>
      </c>
      <c r="K310" s="6">
        <v>94</v>
      </c>
      <c r="P310" s="19"/>
    </row>
    <row r="311" spans="1:16">
      <c r="A311" s="2">
        <v>3</v>
      </c>
      <c r="B311" t="str">
        <f>IFERROR((_xlfn.XLOOKUP(A311,Diretriz!A:A,Diretriz!B:B)),"")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1" s="2" t="s">
        <v>15</v>
      </c>
      <c r="D311" t="str">
        <f>IFERROR((_xlfn.XLOOKUP(C311,Objetivo!C:C,Objetivo!D:D)), "")</f>
        <v>Dimensionar, valorizar e qualificar os trabalhadores/as do SUS no Maranhão, a partir da estruturação de uma política da gestão de trabalho e educação na saúde.</v>
      </c>
      <c r="E311" s="21" t="s">
        <v>21</v>
      </c>
      <c r="F311" s="20" t="str">
        <f>IFERROR(_xlfn.XLOOKUP(E311,#REF!,#REF!), "")</f>
        <v/>
      </c>
      <c r="G311" s="22" t="s">
        <v>957</v>
      </c>
      <c r="H311" t="s">
        <v>949</v>
      </c>
      <c r="I311" s="24" t="s">
        <v>953</v>
      </c>
      <c r="J311" s="6" t="s">
        <v>374</v>
      </c>
      <c r="K311" s="37">
        <v>1284</v>
      </c>
      <c r="P311" s="19"/>
    </row>
    <row r="312" spans="1:16">
      <c r="A312" s="2">
        <v>3</v>
      </c>
      <c r="B312" t="str">
        <f>IFERROR((_xlfn.XLOOKUP(A312,Diretriz!A:A,Diretriz!B:B)),"")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2" s="2" t="s">
        <v>15</v>
      </c>
      <c r="D312" t="str">
        <f>IFERROR((_xlfn.XLOOKUP(C312,Objetivo!C:C,Objetivo!D:D)), "")</f>
        <v>Dimensionar, valorizar e qualificar os trabalhadores/as do SUS no Maranhão, a partir da estruturação de uma política da gestão de trabalho e educação na saúde.</v>
      </c>
      <c r="E312" s="21" t="s">
        <v>21</v>
      </c>
      <c r="F312" s="20" t="str">
        <f>IFERROR(_xlfn.XLOOKUP(E312,#REF!,#REF!), "")</f>
        <v/>
      </c>
      <c r="G312" s="22" t="s">
        <v>958</v>
      </c>
      <c r="H312" t="s">
        <v>950</v>
      </c>
      <c r="I312" s="24" t="s">
        <v>954</v>
      </c>
      <c r="J312" s="6" t="s">
        <v>374</v>
      </c>
      <c r="K312" s="6">
        <v>15</v>
      </c>
      <c r="P312" s="19"/>
    </row>
    <row r="313" spans="1:16">
      <c r="A313" s="2">
        <v>3</v>
      </c>
      <c r="B313" t="str">
        <f>IFERROR((_xlfn.XLOOKUP(A313,Diretriz!A:A,Diretriz!B:B)),"")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3" s="2" t="s">
        <v>15</v>
      </c>
      <c r="D313" t="str">
        <f>IFERROR((_xlfn.XLOOKUP(C313,Objetivo!C:C,Objetivo!D:D)), "")</f>
        <v>Dimensionar, valorizar e qualificar os trabalhadores/as do SUS no Maranhão, a partir da estruturação de uma política da gestão de trabalho e educação na saúde.</v>
      </c>
      <c r="E313" s="21" t="s">
        <v>21</v>
      </c>
      <c r="F313" s="20" t="str">
        <f>IFERROR(_xlfn.XLOOKUP(E313,#REF!,#REF!), "")</f>
        <v/>
      </c>
      <c r="G313" s="22" t="s">
        <v>959</v>
      </c>
      <c r="H313" t="s">
        <v>951</v>
      </c>
      <c r="I313" s="24" t="s">
        <v>953</v>
      </c>
      <c r="J313" s="6" t="s">
        <v>374</v>
      </c>
      <c r="K313" s="6">
        <v>321</v>
      </c>
      <c r="P313" s="19"/>
    </row>
    <row r="314" spans="1:16">
      <c r="A314" s="2">
        <v>3</v>
      </c>
      <c r="B314" t="str">
        <f>IFERROR((_xlfn.XLOOKUP(A314,Diretriz!A:A,Diretriz!B:B)),"")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4" s="2" t="s">
        <v>15</v>
      </c>
      <c r="D314" t="str">
        <f>IFERROR((_xlfn.XLOOKUP(C314,Objetivo!C:C,Objetivo!D:D)), "")</f>
        <v>Dimensionar, valorizar e qualificar os trabalhadores/as do SUS no Maranhão, a partir da estruturação de uma política da gestão de trabalho e educação na saúde.</v>
      </c>
      <c r="E314" s="21" t="s">
        <v>22</v>
      </c>
      <c r="F314" s="20" t="str">
        <f>IFERROR(_xlfn.XLOOKUP(E314,#REF!,#REF!), "")</f>
        <v/>
      </c>
      <c r="G314" s="22" t="s">
        <v>964</v>
      </c>
      <c r="H314" t="s">
        <v>960</v>
      </c>
      <c r="I314" s="24" t="s">
        <v>965</v>
      </c>
      <c r="J314" s="6" t="s">
        <v>374</v>
      </c>
      <c r="K314" s="6">
        <v>48</v>
      </c>
      <c r="P314" s="19"/>
    </row>
    <row r="315" spans="1:16">
      <c r="A315" s="2">
        <v>3</v>
      </c>
      <c r="B315" t="str">
        <f>IFERROR((_xlfn.XLOOKUP(A315,Diretriz!A:A,Diretriz!B:B)),"")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5" s="2" t="s">
        <v>15</v>
      </c>
      <c r="D315" t="str">
        <f>IFERROR((_xlfn.XLOOKUP(C315,Objetivo!C:C,Objetivo!D:D)), "")</f>
        <v>Dimensionar, valorizar e qualificar os trabalhadores/as do SUS no Maranhão, a partir da estruturação de uma política da gestão de trabalho e educação na saúde.</v>
      </c>
      <c r="E315" s="21" t="s">
        <v>22</v>
      </c>
      <c r="F315" s="20" t="str">
        <f>IFERROR(_xlfn.XLOOKUP(E315,#REF!,#REF!), "")</f>
        <v/>
      </c>
      <c r="G315" s="22" t="s">
        <v>964</v>
      </c>
      <c r="H315" t="s">
        <v>961</v>
      </c>
      <c r="I315" s="24" t="s">
        <v>687</v>
      </c>
      <c r="J315" s="6" t="s">
        <v>374</v>
      </c>
      <c r="K315" s="6">
        <v>8</v>
      </c>
      <c r="P315" s="19"/>
    </row>
    <row r="316" spans="1:16">
      <c r="A316" s="2">
        <v>3</v>
      </c>
      <c r="B316" t="str">
        <f>IFERROR((_xlfn.XLOOKUP(A316,Diretriz!A:A,Diretriz!B:B)),"")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6" s="2" t="s">
        <v>15</v>
      </c>
      <c r="D316" t="str">
        <f>IFERROR((_xlfn.XLOOKUP(C316,Objetivo!C:C,Objetivo!D:D)), "")</f>
        <v>Dimensionar, valorizar e qualificar os trabalhadores/as do SUS no Maranhão, a partir da estruturação de uma política da gestão de trabalho e educação na saúde.</v>
      </c>
      <c r="E316" s="21" t="s">
        <v>22</v>
      </c>
      <c r="F316" s="20" t="str">
        <f>IFERROR(_xlfn.XLOOKUP(E316,#REF!,#REF!), "")</f>
        <v/>
      </c>
      <c r="G316" s="22" t="s">
        <v>964</v>
      </c>
      <c r="H316" t="s">
        <v>962</v>
      </c>
      <c r="I316" s="24" t="s">
        <v>966</v>
      </c>
      <c r="J316" s="6" t="s">
        <v>374</v>
      </c>
      <c r="K316" s="6">
        <v>7</v>
      </c>
      <c r="P316" s="19"/>
    </row>
    <row r="317" spans="1:16">
      <c r="A317" s="2">
        <v>3</v>
      </c>
      <c r="B317" t="str">
        <f>IFERROR((_xlfn.XLOOKUP(A317,Diretriz!A:A,Diretriz!B:B)),"")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7" s="2" t="s">
        <v>15</v>
      </c>
      <c r="D317" t="str">
        <f>IFERROR((_xlfn.XLOOKUP(C317,Objetivo!C:C,Objetivo!D:D)), "")</f>
        <v>Dimensionar, valorizar e qualificar os trabalhadores/as do SUS no Maranhão, a partir da estruturação de uma política da gestão de trabalho e educação na saúde.</v>
      </c>
      <c r="E317" s="21" t="s">
        <v>22</v>
      </c>
      <c r="F317" s="20" t="str">
        <f>IFERROR(_xlfn.XLOOKUP(E317,#REF!,#REF!), "")</f>
        <v/>
      </c>
      <c r="G317" s="22" t="s">
        <v>964</v>
      </c>
      <c r="H317" t="s">
        <v>963</v>
      </c>
      <c r="I317" s="24" t="s">
        <v>967</v>
      </c>
      <c r="J317" s="6" t="s">
        <v>374</v>
      </c>
      <c r="K317" s="6">
        <v>28</v>
      </c>
      <c r="P317" s="19"/>
    </row>
    <row r="318" spans="1:16">
      <c r="A318" s="2">
        <v>3</v>
      </c>
      <c r="B318" t="str">
        <f>IFERROR((_xlfn.XLOOKUP(A318,Diretriz!A:A,Diretriz!B:B)),"")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8" s="2" t="s">
        <v>15</v>
      </c>
      <c r="D318" t="str">
        <f>IFERROR((_xlfn.XLOOKUP(C318,Objetivo!C:C,Objetivo!D:D)), "")</f>
        <v>Dimensionar, valorizar e qualificar os trabalhadores/as do SUS no Maranhão, a partir da estruturação de uma política da gestão de trabalho e educação na saúde.</v>
      </c>
      <c r="E318" s="21" t="s">
        <v>23</v>
      </c>
      <c r="F318" s="20" t="str">
        <f>IFERROR(_xlfn.XLOOKUP(E318,#REF!,#REF!), "")</f>
        <v/>
      </c>
      <c r="G318" s="22" t="s">
        <v>972</v>
      </c>
      <c r="H318" t="s">
        <v>968</v>
      </c>
      <c r="I318" s="24" t="s">
        <v>976</v>
      </c>
      <c r="J318" s="6" t="s">
        <v>374</v>
      </c>
      <c r="K318" s="6">
        <v>6</v>
      </c>
      <c r="P318" s="19"/>
    </row>
    <row r="319" spans="1:16">
      <c r="A319" s="2">
        <v>3</v>
      </c>
      <c r="B319" t="str">
        <f>IFERROR((_xlfn.XLOOKUP(A319,Diretriz!A:A,Diretriz!B:B)),"")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19" s="2" t="s">
        <v>15</v>
      </c>
      <c r="D319" t="str">
        <f>IFERROR((_xlfn.XLOOKUP(C319,Objetivo!C:C,Objetivo!D:D)), "")</f>
        <v>Dimensionar, valorizar e qualificar os trabalhadores/as do SUS no Maranhão, a partir da estruturação de uma política da gestão de trabalho e educação na saúde.</v>
      </c>
      <c r="E319" s="21" t="s">
        <v>23</v>
      </c>
      <c r="F319" s="20" t="str">
        <f>IFERROR(_xlfn.XLOOKUP(E319,#REF!,#REF!), "")</f>
        <v/>
      </c>
      <c r="G319" s="22" t="s">
        <v>973</v>
      </c>
      <c r="H319" t="s">
        <v>969</v>
      </c>
      <c r="I319" s="24" t="s">
        <v>977</v>
      </c>
      <c r="J319" s="6" t="s">
        <v>374</v>
      </c>
      <c r="K319" s="6">
        <v>1</v>
      </c>
      <c r="P319" s="19"/>
    </row>
    <row r="320" spans="1:16">
      <c r="A320" s="2">
        <v>3</v>
      </c>
      <c r="B320" t="str">
        <f>IFERROR((_xlfn.XLOOKUP(A320,Diretriz!A:A,Diretriz!B:B)),"")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0" s="2" t="s">
        <v>15</v>
      </c>
      <c r="D320" t="str">
        <f>IFERROR((_xlfn.XLOOKUP(C320,Objetivo!C:C,Objetivo!D:D)), "")</f>
        <v>Dimensionar, valorizar e qualificar os trabalhadores/as do SUS no Maranhão, a partir da estruturação de uma política da gestão de trabalho e educação na saúde.</v>
      </c>
      <c r="E320" s="21" t="s">
        <v>23</v>
      </c>
      <c r="F320" s="20" t="str">
        <f>IFERROR(_xlfn.XLOOKUP(E320,#REF!,#REF!), "")</f>
        <v/>
      </c>
      <c r="G320" s="22" t="s">
        <v>974</v>
      </c>
      <c r="H320" t="s">
        <v>970</v>
      </c>
      <c r="I320" s="24" t="s">
        <v>978</v>
      </c>
      <c r="J320" s="6" t="s">
        <v>374</v>
      </c>
      <c r="K320" s="6">
        <v>1</v>
      </c>
      <c r="P320" s="19"/>
    </row>
    <row r="321" spans="1:16">
      <c r="A321" s="2">
        <v>3</v>
      </c>
      <c r="B321" t="str">
        <f>IFERROR((_xlfn.XLOOKUP(A321,Diretriz!A:A,Diretriz!B:B)),"")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1" s="2" t="s">
        <v>15</v>
      </c>
      <c r="D321" t="str">
        <f>IFERROR((_xlfn.XLOOKUP(C321,Objetivo!C:C,Objetivo!D:D)), "")</f>
        <v>Dimensionar, valorizar e qualificar os trabalhadores/as do SUS no Maranhão, a partir da estruturação de uma política da gestão de trabalho e educação na saúde.</v>
      </c>
      <c r="E321" s="21" t="s">
        <v>23</v>
      </c>
      <c r="F321" s="20" t="str">
        <f>IFERROR(_xlfn.XLOOKUP(E321,#REF!,#REF!), "")</f>
        <v/>
      </c>
      <c r="G321" s="22" t="s">
        <v>975</v>
      </c>
      <c r="H321" t="s">
        <v>971</v>
      </c>
      <c r="I321" s="24" t="s">
        <v>455</v>
      </c>
      <c r="J321" s="6" t="s">
        <v>374</v>
      </c>
      <c r="K321" s="6">
        <v>4</v>
      </c>
      <c r="P321" s="19"/>
    </row>
    <row r="322" spans="1:16">
      <c r="A322" s="2">
        <v>3</v>
      </c>
      <c r="B322" t="str">
        <f>IFERROR((_xlfn.XLOOKUP(A322,Diretriz!A:A,Diretriz!B:B)),"")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2" s="2" t="s">
        <v>15</v>
      </c>
      <c r="D322" t="str">
        <f>IFERROR((_xlfn.XLOOKUP(C322,Objetivo!C:C,Objetivo!D:D)), "")</f>
        <v>Dimensionar, valorizar e qualificar os trabalhadores/as do SUS no Maranhão, a partir da estruturação de uma política da gestão de trabalho e educação na saúde.</v>
      </c>
      <c r="E322" s="21" t="s">
        <v>16</v>
      </c>
      <c r="F322" s="20" t="str">
        <f>IFERROR(_xlfn.XLOOKUP(E322,#REF!,#REF!), "")</f>
        <v/>
      </c>
      <c r="G322" s="22" t="s">
        <v>988</v>
      </c>
      <c r="H322" t="s">
        <v>979</v>
      </c>
      <c r="I322" s="24" t="s">
        <v>989</v>
      </c>
      <c r="J322" s="6" t="s">
        <v>374</v>
      </c>
      <c r="K322" s="6">
        <v>120</v>
      </c>
      <c r="P322" s="19"/>
    </row>
    <row r="323" spans="1:16">
      <c r="A323" s="2">
        <v>3</v>
      </c>
      <c r="B323" t="str">
        <f>IFERROR((_xlfn.XLOOKUP(A323,Diretriz!A:A,Diretriz!B:B)),"")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3" s="2" t="s">
        <v>15</v>
      </c>
      <c r="D323" t="str">
        <f>IFERROR((_xlfn.XLOOKUP(C323,Objetivo!C:C,Objetivo!D:D)), "")</f>
        <v>Dimensionar, valorizar e qualificar os trabalhadores/as do SUS no Maranhão, a partir da estruturação de uma política da gestão de trabalho e educação na saúde.</v>
      </c>
      <c r="E323" s="21" t="s">
        <v>16</v>
      </c>
      <c r="F323" s="20" t="str">
        <f>IFERROR(_xlfn.XLOOKUP(E323,#REF!,#REF!), "")</f>
        <v/>
      </c>
      <c r="G323" s="22" t="s">
        <v>988</v>
      </c>
      <c r="H323" t="s">
        <v>980</v>
      </c>
      <c r="I323" s="24" t="s">
        <v>990</v>
      </c>
      <c r="J323" s="6" t="s">
        <v>374</v>
      </c>
      <c r="K323" s="37">
        <v>4195</v>
      </c>
      <c r="P323" s="19"/>
    </row>
    <row r="324" spans="1:16">
      <c r="A324" s="2">
        <v>3</v>
      </c>
      <c r="B324" t="str">
        <f>IFERROR((_xlfn.XLOOKUP(A324,Diretriz!A:A,Diretriz!B:B)),"")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4" s="2" t="s">
        <v>15</v>
      </c>
      <c r="D324" t="str">
        <f>IFERROR((_xlfn.XLOOKUP(C324,Objetivo!C:C,Objetivo!D:D)), "")</f>
        <v>Dimensionar, valorizar e qualificar os trabalhadores/as do SUS no Maranhão, a partir da estruturação de uma política da gestão de trabalho e educação na saúde.</v>
      </c>
      <c r="E324" s="21" t="s">
        <v>16</v>
      </c>
      <c r="F324" s="20" t="str">
        <f>IFERROR(_xlfn.XLOOKUP(E324,#REF!,#REF!), "")</f>
        <v/>
      </c>
      <c r="G324" s="22" t="s">
        <v>988</v>
      </c>
      <c r="H324" t="s">
        <v>981</v>
      </c>
      <c r="I324" s="24" t="s">
        <v>991</v>
      </c>
      <c r="J324" s="6" t="s">
        <v>374</v>
      </c>
      <c r="K324" s="37">
        <v>2000</v>
      </c>
      <c r="P324" s="19"/>
    </row>
    <row r="325" spans="1:16">
      <c r="A325" s="2">
        <v>3</v>
      </c>
      <c r="B325" t="str">
        <f>IFERROR((_xlfn.XLOOKUP(A325,Diretriz!A:A,Diretriz!B:B)),"")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5" s="2" t="s">
        <v>15</v>
      </c>
      <c r="D325" t="str">
        <f>IFERROR((_xlfn.XLOOKUP(C325,Objetivo!C:C,Objetivo!D:D)), "")</f>
        <v>Dimensionar, valorizar e qualificar os trabalhadores/as do SUS no Maranhão, a partir da estruturação de uma política da gestão de trabalho e educação na saúde.</v>
      </c>
      <c r="E325" s="21" t="s">
        <v>16</v>
      </c>
      <c r="F325" s="20" t="str">
        <f>IFERROR(_xlfn.XLOOKUP(E325,#REF!,#REF!), "")</f>
        <v/>
      </c>
      <c r="G325" s="22" t="s">
        <v>988</v>
      </c>
      <c r="H325" t="s">
        <v>982</v>
      </c>
      <c r="I325" s="24" t="s">
        <v>991</v>
      </c>
      <c r="J325" s="6" t="s">
        <v>374</v>
      </c>
      <c r="K325" s="6">
        <v>120</v>
      </c>
      <c r="P325" s="19"/>
    </row>
    <row r="326" spans="1:16">
      <c r="A326" s="2">
        <v>3</v>
      </c>
      <c r="B326" t="str">
        <f>IFERROR((_xlfn.XLOOKUP(A326,Diretriz!A:A,Diretriz!B:B)),"")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6" s="2" t="s">
        <v>15</v>
      </c>
      <c r="D326" t="str">
        <f>IFERROR((_xlfn.XLOOKUP(C326,Objetivo!C:C,Objetivo!D:D)), "")</f>
        <v>Dimensionar, valorizar e qualificar os trabalhadores/as do SUS no Maranhão, a partir da estruturação de uma política da gestão de trabalho e educação na saúde.</v>
      </c>
      <c r="E326" s="21" t="s">
        <v>16</v>
      </c>
      <c r="F326" s="20" t="str">
        <f>IFERROR(_xlfn.XLOOKUP(E326,#REF!,#REF!), "")</f>
        <v/>
      </c>
      <c r="G326" s="22" t="s">
        <v>988</v>
      </c>
      <c r="H326" t="s">
        <v>983</v>
      </c>
      <c r="I326" s="24" t="s">
        <v>991</v>
      </c>
      <c r="J326" s="6" t="s">
        <v>374</v>
      </c>
      <c r="K326" s="6">
        <v>250</v>
      </c>
      <c r="P326" s="19"/>
    </row>
    <row r="327" spans="1:16">
      <c r="A327" s="2">
        <v>3</v>
      </c>
      <c r="B327" t="str">
        <f>IFERROR((_xlfn.XLOOKUP(A327,Diretriz!A:A,Diretriz!B:B)),"")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7" s="2" t="s">
        <v>15</v>
      </c>
      <c r="D327" t="str">
        <f>IFERROR((_xlfn.XLOOKUP(C327,Objetivo!C:C,Objetivo!D:D)), "")</f>
        <v>Dimensionar, valorizar e qualificar os trabalhadores/as do SUS no Maranhão, a partir da estruturação de uma política da gestão de trabalho e educação na saúde.</v>
      </c>
      <c r="E327" s="21" t="s">
        <v>16</v>
      </c>
      <c r="F327" s="20" t="str">
        <f>IFERROR(_xlfn.XLOOKUP(E327,#REF!,#REF!), "")</f>
        <v/>
      </c>
      <c r="G327" s="22" t="s">
        <v>988</v>
      </c>
      <c r="H327" t="s">
        <v>984</v>
      </c>
      <c r="I327" s="24" t="s">
        <v>991</v>
      </c>
      <c r="J327" s="6" t="s">
        <v>374</v>
      </c>
      <c r="K327" s="6">
        <v>150</v>
      </c>
      <c r="P327" s="19"/>
    </row>
    <row r="328" spans="1:16">
      <c r="A328" s="2">
        <v>3</v>
      </c>
      <c r="B328" t="str">
        <f>IFERROR((_xlfn.XLOOKUP(A328,Diretriz!A:A,Diretriz!B:B)),"")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8" s="2" t="s">
        <v>15</v>
      </c>
      <c r="D328" t="str">
        <f>IFERROR((_xlfn.XLOOKUP(C328,Objetivo!C:C,Objetivo!D:D)), "")</f>
        <v>Dimensionar, valorizar e qualificar os trabalhadores/as do SUS no Maranhão, a partir da estruturação de uma política da gestão de trabalho e educação na saúde.</v>
      </c>
      <c r="E328" s="21" t="s">
        <v>16</v>
      </c>
      <c r="F328" s="20" t="str">
        <f>IFERROR(_xlfn.XLOOKUP(E328,#REF!,#REF!), "")</f>
        <v/>
      </c>
      <c r="G328" s="22" t="s">
        <v>988</v>
      </c>
      <c r="H328" t="s">
        <v>985</v>
      </c>
      <c r="I328" s="24" t="s">
        <v>991</v>
      </c>
      <c r="J328" s="6" t="s">
        <v>374</v>
      </c>
      <c r="K328" s="6">
        <v>50</v>
      </c>
      <c r="P328" s="19"/>
    </row>
    <row r="329" spans="1:16">
      <c r="A329" s="2">
        <v>3</v>
      </c>
      <c r="B329" t="str">
        <f>IFERROR((_xlfn.XLOOKUP(A329,Diretriz!A:A,Diretriz!B:B)),"")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29" s="2" t="s">
        <v>15</v>
      </c>
      <c r="D329" t="str">
        <f>IFERROR((_xlfn.XLOOKUP(C329,Objetivo!C:C,Objetivo!D:D)), "")</f>
        <v>Dimensionar, valorizar e qualificar os trabalhadores/as do SUS no Maranhão, a partir da estruturação de uma política da gestão de trabalho e educação na saúde.</v>
      </c>
      <c r="E329" s="21" t="s">
        <v>16</v>
      </c>
      <c r="F329" s="20" t="str">
        <f>IFERROR(_xlfn.XLOOKUP(E329,#REF!,#REF!), "")</f>
        <v/>
      </c>
      <c r="G329" s="22" t="s">
        <v>988</v>
      </c>
      <c r="H329" t="s">
        <v>986</v>
      </c>
      <c r="I329" s="24" t="s">
        <v>991</v>
      </c>
      <c r="J329" s="6" t="s">
        <v>374</v>
      </c>
      <c r="K329" s="6">
        <v>70</v>
      </c>
      <c r="P329" s="19"/>
    </row>
    <row r="330" spans="1:16">
      <c r="A330" s="2">
        <v>3</v>
      </c>
      <c r="B330" t="str">
        <f>IFERROR((_xlfn.XLOOKUP(A330,Diretriz!A:A,Diretriz!B:B)),"")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0" s="2" t="s">
        <v>15</v>
      </c>
      <c r="D330" t="str">
        <f>IFERROR((_xlfn.XLOOKUP(C330,Objetivo!C:C,Objetivo!D:D)), "")</f>
        <v>Dimensionar, valorizar e qualificar os trabalhadores/as do SUS no Maranhão, a partir da estruturação de uma política da gestão de trabalho e educação na saúde.</v>
      </c>
      <c r="E330" s="21" t="s">
        <v>16</v>
      </c>
      <c r="F330" s="20" t="str">
        <f>IFERROR(_xlfn.XLOOKUP(E330,#REF!,#REF!), "")</f>
        <v/>
      </c>
      <c r="G330" s="22" t="s">
        <v>988</v>
      </c>
      <c r="H330" t="s">
        <v>987</v>
      </c>
      <c r="I330" s="24" t="s">
        <v>989</v>
      </c>
      <c r="J330" s="6" t="s">
        <v>374</v>
      </c>
      <c r="K330" s="6">
        <v>50</v>
      </c>
      <c r="P330" s="19"/>
    </row>
    <row r="331" spans="1:16">
      <c r="A331" s="2">
        <v>3</v>
      </c>
      <c r="B331" t="str">
        <f>IFERROR((_xlfn.XLOOKUP(A331,Diretriz!A:A,Diretriz!B:B)),"")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1" s="2" t="s">
        <v>15</v>
      </c>
      <c r="D331" t="str">
        <f>IFERROR((_xlfn.XLOOKUP(C331,Objetivo!C:C,Objetivo!D:D)), "")</f>
        <v>Dimensionar, valorizar e qualificar os trabalhadores/as do SUS no Maranhão, a partir da estruturação de uma política da gestão de trabalho e educação na saúde.</v>
      </c>
      <c r="E331" s="21" t="s">
        <v>24</v>
      </c>
      <c r="F331" s="20" t="str">
        <f>IFERROR(_xlfn.XLOOKUP(E331,#REF!,#REF!), "")</f>
        <v/>
      </c>
      <c r="G331" s="22" t="s">
        <v>997</v>
      </c>
      <c r="H331" t="s">
        <v>992</v>
      </c>
      <c r="I331" s="24" t="s">
        <v>998</v>
      </c>
      <c r="J331" s="6" t="s">
        <v>374</v>
      </c>
      <c r="K331" s="6">
        <v>100</v>
      </c>
      <c r="P331" s="19"/>
    </row>
    <row r="332" spans="1:16">
      <c r="A332" s="2">
        <v>3</v>
      </c>
      <c r="B332" t="str">
        <f>IFERROR((_xlfn.XLOOKUP(A332,Diretriz!A:A,Diretriz!B:B)),"")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2" s="2" t="s">
        <v>15</v>
      </c>
      <c r="D332" t="str">
        <f>IFERROR((_xlfn.XLOOKUP(C332,Objetivo!C:C,Objetivo!D:D)), "")</f>
        <v>Dimensionar, valorizar e qualificar os trabalhadores/as do SUS no Maranhão, a partir da estruturação de uma política da gestão de trabalho e educação na saúde.</v>
      </c>
      <c r="E332" s="21" t="s">
        <v>24</v>
      </c>
      <c r="F332" s="20" t="str">
        <f>IFERROR(_xlfn.XLOOKUP(E332,#REF!,#REF!), "")</f>
        <v/>
      </c>
      <c r="G332" s="22" t="s">
        <v>997</v>
      </c>
      <c r="H332" t="s">
        <v>993</v>
      </c>
      <c r="I332" s="24" t="s">
        <v>998</v>
      </c>
      <c r="J332" s="6" t="s">
        <v>374</v>
      </c>
      <c r="K332" s="6">
        <v>100</v>
      </c>
      <c r="P332" s="19"/>
    </row>
    <row r="333" spans="1:16">
      <c r="A333" s="2">
        <v>3</v>
      </c>
      <c r="B333" t="str">
        <f>IFERROR((_xlfn.XLOOKUP(A333,Diretriz!A:A,Diretriz!B:B)),"")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3" s="2" t="s">
        <v>15</v>
      </c>
      <c r="D333" t="str">
        <f>IFERROR((_xlfn.XLOOKUP(C333,Objetivo!C:C,Objetivo!D:D)), "")</f>
        <v>Dimensionar, valorizar e qualificar os trabalhadores/as do SUS no Maranhão, a partir da estruturação de uma política da gestão de trabalho e educação na saúde.</v>
      </c>
      <c r="E333" s="21" t="s">
        <v>24</v>
      </c>
      <c r="F333" s="20" t="str">
        <f>IFERROR(_xlfn.XLOOKUP(E333,#REF!,#REF!), "")</f>
        <v/>
      </c>
      <c r="G333" s="22" t="s">
        <v>997</v>
      </c>
      <c r="H333" t="s">
        <v>994</v>
      </c>
      <c r="I333" s="24" t="s">
        <v>998</v>
      </c>
      <c r="J333" s="6" t="s">
        <v>374</v>
      </c>
      <c r="K333" s="6">
        <v>100</v>
      </c>
      <c r="P333" s="19"/>
    </row>
    <row r="334" spans="1:16">
      <c r="A334" s="2">
        <v>3</v>
      </c>
      <c r="B334" t="str">
        <f>IFERROR((_xlfn.XLOOKUP(A334,Diretriz!A:A,Diretriz!B:B)),"")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4" s="2" t="s">
        <v>15</v>
      </c>
      <c r="D334" t="str">
        <f>IFERROR((_xlfn.XLOOKUP(C334,Objetivo!C:C,Objetivo!D:D)), "")</f>
        <v>Dimensionar, valorizar e qualificar os trabalhadores/as do SUS no Maranhão, a partir da estruturação de uma política da gestão de trabalho e educação na saúde.</v>
      </c>
      <c r="E334" s="21" t="s">
        <v>24</v>
      </c>
      <c r="F334" s="20" t="str">
        <f>IFERROR(_xlfn.XLOOKUP(E334,#REF!,#REF!), "")</f>
        <v/>
      </c>
      <c r="G334" s="22" t="s">
        <v>997</v>
      </c>
      <c r="H334" t="s">
        <v>995</v>
      </c>
      <c r="I334" s="24" t="s">
        <v>998</v>
      </c>
      <c r="J334" s="6" t="s">
        <v>374</v>
      </c>
      <c r="K334" s="6">
        <v>100</v>
      </c>
      <c r="P334" s="19"/>
    </row>
    <row r="335" spans="1:16">
      <c r="A335" s="2">
        <v>3</v>
      </c>
      <c r="B335" t="str">
        <f>IFERROR((_xlfn.XLOOKUP(A335,Diretriz!A:A,Diretriz!B:B)),"")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5" s="2" t="s">
        <v>15</v>
      </c>
      <c r="D335" t="str">
        <f>IFERROR((_xlfn.XLOOKUP(C335,Objetivo!C:C,Objetivo!D:D)), "")</f>
        <v>Dimensionar, valorizar e qualificar os trabalhadores/as do SUS no Maranhão, a partir da estruturação de uma política da gestão de trabalho e educação na saúde.</v>
      </c>
      <c r="E335" s="21" t="s">
        <v>24</v>
      </c>
      <c r="F335" s="20" t="str">
        <f>IFERROR(_xlfn.XLOOKUP(E335,#REF!,#REF!), "")</f>
        <v/>
      </c>
      <c r="G335" s="22" t="s">
        <v>997</v>
      </c>
      <c r="H335" t="s">
        <v>996</v>
      </c>
      <c r="I335" s="24" t="s">
        <v>998</v>
      </c>
      <c r="J335" s="6" t="s">
        <v>374</v>
      </c>
      <c r="K335" s="6">
        <v>100</v>
      </c>
      <c r="P335" s="19"/>
    </row>
    <row r="336" spans="1:16">
      <c r="A336" s="2">
        <v>3</v>
      </c>
      <c r="B336" t="str">
        <f>IFERROR((_xlfn.XLOOKUP(A336,Diretriz!A:A,Diretriz!B:B)),"")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6" s="2" t="s">
        <v>15</v>
      </c>
      <c r="D336" t="str">
        <f>IFERROR((_xlfn.XLOOKUP(C336,Objetivo!C:C,Objetivo!D:D)), "")</f>
        <v>Dimensionar, valorizar e qualificar os trabalhadores/as do SUS no Maranhão, a partir da estruturação de uma política da gestão de trabalho e educação na saúde.</v>
      </c>
      <c r="E336" s="21" t="s">
        <v>25</v>
      </c>
      <c r="F336" s="20" t="str">
        <f>IFERROR(_xlfn.XLOOKUP(E336,#REF!,#REF!), "")</f>
        <v/>
      </c>
      <c r="G336" s="22" t="s">
        <v>1002</v>
      </c>
      <c r="H336" t="s">
        <v>999</v>
      </c>
      <c r="I336" s="24" t="s">
        <v>1005</v>
      </c>
      <c r="J336" s="6" t="s">
        <v>395</v>
      </c>
      <c r="K336" s="26">
        <v>0.7</v>
      </c>
      <c r="P336" s="19"/>
    </row>
    <row r="337" spans="1:16">
      <c r="A337" s="2">
        <v>3</v>
      </c>
      <c r="B337" t="str">
        <f>IFERROR((_xlfn.XLOOKUP(A337,Diretriz!A:A,Diretriz!B:B)),"")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7" s="2" t="s">
        <v>15</v>
      </c>
      <c r="D337" t="str">
        <f>IFERROR((_xlfn.XLOOKUP(C337,Objetivo!C:C,Objetivo!D:D)), "")</f>
        <v>Dimensionar, valorizar e qualificar os trabalhadores/as do SUS no Maranhão, a partir da estruturação de uma política da gestão de trabalho e educação na saúde.</v>
      </c>
      <c r="E337" s="21" t="s">
        <v>25</v>
      </c>
      <c r="F337" s="20" t="str">
        <f>IFERROR(_xlfn.XLOOKUP(E337,#REF!,#REF!), "")</f>
        <v/>
      </c>
      <c r="G337" s="22" t="s">
        <v>1003</v>
      </c>
      <c r="H337" t="s">
        <v>1000</v>
      </c>
      <c r="I337" s="24" t="s">
        <v>1006</v>
      </c>
      <c r="J337" s="6" t="s">
        <v>395</v>
      </c>
      <c r="K337" s="26">
        <v>1</v>
      </c>
      <c r="P337" s="19"/>
    </row>
    <row r="338" spans="1:16">
      <c r="A338" s="2">
        <v>3</v>
      </c>
      <c r="B338" t="str">
        <f>IFERROR((_xlfn.XLOOKUP(A338,Diretriz!A:A,Diretriz!B:B)),"")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8" s="2" t="s">
        <v>15</v>
      </c>
      <c r="D338" t="str">
        <f>IFERROR((_xlfn.XLOOKUP(C338,Objetivo!C:C,Objetivo!D:D)), "")</f>
        <v>Dimensionar, valorizar e qualificar os trabalhadores/as do SUS no Maranhão, a partir da estruturação de uma política da gestão de trabalho e educação na saúde.</v>
      </c>
      <c r="E338" s="21" t="s">
        <v>25</v>
      </c>
      <c r="F338" s="20" t="str">
        <f>IFERROR(_xlfn.XLOOKUP(E338,#REF!,#REF!), "")</f>
        <v/>
      </c>
      <c r="G338" s="22" t="s">
        <v>1004</v>
      </c>
      <c r="H338" t="s">
        <v>1001</v>
      </c>
      <c r="I338" s="24" t="s">
        <v>1007</v>
      </c>
      <c r="J338" s="6" t="s">
        <v>395</v>
      </c>
      <c r="K338" s="26">
        <v>0.3</v>
      </c>
      <c r="P338" s="19"/>
    </row>
    <row r="339" spans="1:16">
      <c r="A339" s="2">
        <v>3</v>
      </c>
      <c r="B339" t="str">
        <f>IFERROR((_xlfn.XLOOKUP(A339,Diretriz!A:A,Diretriz!B:B)),"")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39" s="2" t="s">
        <v>18</v>
      </c>
      <c r="D339" t="str">
        <f>IFERROR((_xlfn.XLOOKUP(C339,Objetivo!C:C,Objetivo!D:D)), "")</f>
        <v>Fortalecer os espaços de gestão compartilhada e descentralizada das ações da Secretaria Estadual de Saúde, visando à transparência e aprimorando o controle social.</v>
      </c>
      <c r="E339" s="21" t="s">
        <v>17</v>
      </c>
      <c r="F339" s="20" t="str">
        <f>IFERROR(_xlfn.XLOOKUP(E339,#REF!,#REF!), "")</f>
        <v/>
      </c>
      <c r="G339" s="22" t="s">
        <v>1008</v>
      </c>
      <c r="H339" t="s">
        <v>1009</v>
      </c>
      <c r="I339" s="24" t="s">
        <v>457</v>
      </c>
      <c r="J339" s="6" t="s">
        <v>374</v>
      </c>
      <c r="K339" s="6">
        <v>90</v>
      </c>
      <c r="P339" s="19"/>
    </row>
    <row r="340" spans="1:16">
      <c r="A340" s="2">
        <v>3</v>
      </c>
      <c r="B340" t="str">
        <f>IFERROR((_xlfn.XLOOKUP(A340,Diretriz!A:A,Diretriz!B:B)),"")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40" s="2" t="s">
        <v>18</v>
      </c>
      <c r="D340" t="str">
        <f>IFERROR((_xlfn.XLOOKUP(C340,Objetivo!C:C,Objetivo!D:D)), "")</f>
        <v>Fortalecer os espaços de gestão compartilhada e descentralizada das ações da Secretaria Estadual de Saúde, visando à transparência e aprimorando o controle social.</v>
      </c>
      <c r="E340" s="21" t="s">
        <v>17</v>
      </c>
      <c r="F340" s="20" t="str">
        <f>IFERROR(_xlfn.XLOOKUP(E340,#REF!,#REF!), "")</f>
        <v/>
      </c>
      <c r="G340" s="22" t="s">
        <v>1019</v>
      </c>
      <c r="H340" t="s">
        <v>1010</v>
      </c>
      <c r="I340" s="24" t="s">
        <v>457</v>
      </c>
      <c r="J340" s="6" t="s">
        <v>374</v>
      </c>
      <c r="K340" s="6">
        <v>18</v>
      </c>
      <c r="P340" s="19"/>
    </row>
    <row r="341" spans="1:16">
      <c r="A341" s="2">
        <v>3</v>
      </c>
      <c r="B341" t="str">
        <f>IFERROR((_xlfn.XLOOKUP(A341,Diretriz!A:A,Diretriz!B:B)),"")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41" s="2" t="s">
        <v>18</v>
      </c>
      <c r="D341" t="str">
        <f>IFERROR((_xlfn.XLOOKUP(C341,Objetivo!C:C,Objetivo!D:D)), "")</f>
        <v>Fortalecer os espaços de gestão compartilhada e descentralizada das ações da Secretaria Estadual de Saúde, visando à transparência e aprimorando o controle social.</v>
      </c>
      <c r="E341" s="21" t="s">
        <v>17</v>
      </c>
      <c r="F341" s="20" t="str">
        <f>IFERROR(_xlfn.XLOOKUP(E341,#REF!,#REF!), "")</f>
        <v/>
      </c>
      <c r="G341" s="22" t="s">
        <v>1020</v>
      </c>
      <c r="H341" t="s">
        <v>1011</v>
      </c>
      <c r="I341" s="24" t="s">
        <v>457</v>
      </c>
      <c r="J341" s="6" t="s">
        <v>374</v>
      </c>
      <c r="K341" s="6">
        <v>2</v>
      </c>
      <c r="P341" s="19"/>
    </row>
    <row r="342" spans="1:16">
      <c r="A342" s="2">
        <v>3</v>
      </c>
      <c r="B342" t="str">
        <f>IFERROR((_xlfn.XLOOKUP(A342,Diretriz!A:A,Diretriz!B:B)),"")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42" s="2" t="s">
        <v>18</v>
      </c>
      <c r="D342" t="str">
        <f>IFERROR((_xlfn.XLOOKUP(C342,Objetivo!C:C,Objetivo!D:D)), "")</f>
        <v>Fortalecer os espaços de gestão compartilhada e descentralizada das ações da Secretaria Estadual de Saúde, visando à transparência e aprimorando o controle social.</v>
      </c>
      <c r="E342" s="21" t="s">
        <v>17</v>
      </c>
      <c r="F342" s="20" t="str">
        <f>IFERROR(_xlfn.XLOOKUP(E342,#REF!,#REF!), "")</f>
        <v/>
      </c>
      <c r="G342" s="22" t="s">
        <v>1021</v>
      </c>
      <c r="H342" t="s">
        <v>1012</v>
      </c>
      <c r="I342" s="24" t="s">
        <v>1016</v>
      </c>
      <c r="J342" s="6" t="s">
        <v>374</v>
      </c>
      <c r="K342" s="6">
        <v>180</v>
      </c>
      <c r="P342" s="19"/>
    </row>
    <row r="343" spans="1:16">
      <c r="A343" s="2">
        <v>3</v>
      </c>
      <c r="B343" t="str">
        <f>IFERROR((_xlfn.XLOOKUP(A343,Diretriz!A:A,Diretriz!B:B)),"")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43" s="2" t="s">
        <v>18</v>
      </c>
      <c r="D343" t="str">
        <f>IFERROR((_xlfn.XLOOKUP(C343,Objetivo!C:C,Objetivo!D:D)), "")</f>
        <v>Fortalecer os espaços de gestão compartilhada e descentralizada das ações da Secretaria Estadual de Saúde, visando à transparência e aprimorando o controle social.</v>
      </c>
      <c r="E343" s="21" t="s">
        <v>17</v>
      </c>
      <c r="F343" s="20" t="str">
        <f>IFERROR(_xlfn.XLOOKUP(E343,#REF!,#REF!), "")</f>
        <v/>
      </c>
      <c r="G343" s="22" t="s">
        <v>1022</v>
      </c>
      <c r="H343" t="s">
        <v>1013</v>
      </c>
      <c r="I343" s="24" t="s">
        <v>1016</v>
      </c>
      <c r="J343" s="6" t="s">
        <v>374</v>
      </c>
      <c r="K343" s="6">
        <v>108</v>
      </c>
      <c r="P343" s="19"/>
    </row>
    <row r="344" spans="1:16">
      <c r="A344" s="2">
        <v>3</v>
      </c>
      <c r="B344" t="str">
        <f>IFERROR((_xlfn.XLOOKUP(A344,Diretriz!A:A,Diretriz!B:B)),"")</f>
        <v>Fortalecer a Gestão Pública, por meio da gestão compartilhada nas regiões de saúde, com aprimoramento do planejamento estratégico e dos instrumentos de gestão, garantindo e fortalecendo as instâncias de controle social.</v>
      </c>
      <c r="C344" s="2" t="s">
        <v>18</v>
      </c>
      <c r="D344" t="str">
        <f>IFERROR((_xlfn.XLOOKUP(C344,Objetivo!C:C,Objetivo!D:D)), "")</f>
        <v>Fortalecer os espaços de gestão compartilhada e descentralizada das ações da Secretaria Estadual de Saúde, visando à transparência e aprimorando o controle social.</v>
      </c>
      <c r="E344" s="21" t="s">
        <v>17</v>
      </c>
      <c r="F344" s="20" t="str">
        <f>IFERROR(_xlfn.XLOOKUP(E344,#REF!,#REF!), "")</f>
        <v/>
      </c>
      <c r="G344" s="22" t="s">
        <v>1023</v>
      </c>
      <c r="H344" t="s">
        <v>1014</v>
      </c>
      <c r="I344" s="24" t="s">
        <v>1017</v>
      </c>
      <c r="J344" s="6" t="s">
        <v>374</v>
      </c>
      <c r="K344" s="6">
        <v>180</v>
      </c>
      <c r="P344" s="19"/>
    </row>
    <row r="345" spans="1:16">
      <c r="A345" s="2">
        <v>4</v>
      </c>
      <c r="B345" t="str">
        <f>IFERROR((_xlfn.XLOOKUP(A345,Diretriz!A:A,Diretriz!B:B)),"")</f>
        <v>Garantir o financiamento público e sustentável ao Sistema Único de Saúde, melhorando o padrão de gastos e qualificando o financiamento tripartite em saúde.</v>
      </c>
      <c r="C345" s="2" t="s">
        <v>28</v>
      </c>
      <c r="D345" t="str">
        <f>IFERROR((_xlfn.XLOOKUP(C345,Objetivo!C:C,Objetivo!D:D)), "")</f>
        <v>Garantir os investimentos em ações e serviços de saúde no Estado do Maranhão, ampliando o cofinanciamento, a captação de recursos e aumentando a eficiência, eficácia e efetividade da execução orçamentária e financeira</v>
      </c>
      <c r="E345" s="21" t="s">
        <v>17</v>
      </c>
      <c r="F345" s="20" t="str">
        <f>IFERROR(_xlfn.XLOOKUP(E345,#REF!,#REF!), "")</f>
        <v/>
      </c>
      <c r="G345" s="22" t="s">
        <v>1024</v>
      </c>
      <c r="H345" t="s">
        <v>1015</v>
      </c>
      <c r="I345" s="24" t="s">
        <v>1018</v>
      </c>
      <c r="J345" s="6" t="s">
        <v>374</v>
      </c>
      <c r="K345" s="6">
        <v>650</v>
      </c>
      <c r="P345" s="19"/>
    </row>
    <row r="346" spans="1:16">
      <c r="A346" s="2">
        <v>4</v>
      </c>
      <c r="B346" t="str">
        <f>IFERROR((_xlfn.XLOOKUP(A346,Diretriz!A:A,Diretriz!B:B)),"")</f>
        <v>Garantir o financiamento público e sustentável ao Sistema Único de Saúde, melhorando o padrão de gastos e qualificando o financiamento tripartite em saúde.</v>
      </c>
      <c r="C346" s="2" t="s">
        <v>28</v>
      </c>
      <c r="D346" t="str">
        <f>IFERROR((_xlfn.XLOOKUP(C346,Objetivo!C:C,Objetivo!D:D)), "")</f>
        <v>Garantir os investimentos em ações e serviços de saúde no Estado do Maranhão, ampliando o cofinanciamento, a captação de recursos e aumentando a eficiência, eficácia e efetividade da execução orçamentária e financeira</v>
      </c>
      <c r="E346" s="21" t="s">
        <v>26</v>
      </c>
      <c r="F346" s="20" t="str">
        <f>IFERROR(_xlfn.XLOOKUP(E346,#REF!,#REF!), "")</f>
        <v/>
      </c>
      <c r="G346" s="22" t="s">
        <v>1028</v>
      </c>
      <c r="H346" t="s">
        <v>1025</v>
      </c>
      <c r="I346" s="24" t="s">
        <v>1018</v>
      </c>
      <c r="J346" s="6" t="s">
        <v>374</v>
      </c>
      <c r="K346" s="6">
        <v>34</v>
      </c>
      <c r="P346" s="19"/>
    </row>
    <row r="347" spans="1:16">
      <c r="A347" s="2">
        <v>4</v>
      </c>
      <c r="B347" t="str">
        <f>IFERROR((_xlfn.XLOOKUP(A347,Diretriz!A:A,Diretriz!B:B)),"")</f>
        <v>Garantir o financiamento público e sustentável ao Sistema Único de Saúde, melhorando o padrão de gastos e qualificando o financiamento tripartite em saúde.</v>
      </c>
      <c r="C347" s="2" t="s">
        <v>28</v>
      </c>
      <c r="D347" t="str">
        <f>IFERROR((_xlfn.XLOOKUP(C347,Objetivo!C:C,Objetivo!D:D)), "")</f>
        <v>Garantir os investimentos em ações e serviços de saúde no Estado do Maranhão, ampliando o cofinanciamento, a captação de recursos e aumentando a eficiência, eficácia e efetividade da execução orçamentária e financeira</v>
      </c>
      <c r="E347" s="21" t="s">
        <v>26</v>
      </c>
      <c r="F347" s="20" t="str">
        <f>IFERROR(_xlfn.XLOOKUP(E347,#REF!,#REF!), "")</f>
        <v/>
      </c>
      <c r="G347" s="22" t="s">
        <v>1029</v>
      </c>
      <c r="H347" t="s">
        <v>1026</v>
      </c>
      <c r="I347" s="24" t="s">
        <v>1018</v>
      </c>
      <c r="J347" s="6" t="s">
        <v>374</v>
      </c>
      <c r="K347" s="6">
        <v>31</v>
      </c>
      <c r="P347" s="19"/>
    </row>
    <row r="348" spans="1:16">
      <c r="A348" s="2">
        <v>4</v>
      </c>
      <c r="B348" t="str">
        <f>IFERROR((_xlfn.XLOOKUP(A348,Diretriz!A:A,Diretriz!B:B)),"")</f>
        <v>Garantir o financiamento público e sustentável ao Sistema Único de Saúde, melhorando o padrão de gastos e qualificando o financiamento tripartite em saúde.</v>
      </c>
      <c r="C348" s="2" t="s">
        <v>28</v>
      </c>
      <c r="D348" t="str">
        <f>IFERROR((_xlfn.XLOOKUP(C348,Objetivo!C:C,Objetivo!D:D)), "")</f>
        <v>Garantir os investimentos em ações e serviços de saúde no Estado do Maranhão, ampliando o cofinanciamento, a captação de recursos e aumentando a eficiência, eficácia e efetividade da execução orçamentária e financeira</v>
      </c>
      <c r="E348" s="21" t="s">
        <v>26</v>
      </c>
      <c r="F348" s="20" t="str">
        <f>IFERROR(_xlfn.XLOOKUP(E348,#REF!,#REF!), "")</f>
        <v/>
      </c>
      <c r="G348" s="22" t="s">
        <v>1030</v>
      </c>
      <c r="H348" t="s">
        <v>1027</v>
      </c>
      <c r="I348" s="24" t="s">
        <v>1018</v>
      </c>
      <c r="J348" s="6" t="s">
        <v>374</v>
      </c>
      <c r="K348" s="6">
        <v>19</v>
      </c>
      <c r="P348" s="19"/>
    </row>
    <row r="349" spans="1:16">
      <c r="A349" s="2">
        <v>4</v>
      </c>
      <c r="B349" t="str">
        <f>IFERROR((_xlfn.XLOOKUP(A349,Diretriz!A:A,Diretriz!B:B)),"")</f>
        <v>Garantir o financiamento público e sustentável ao Sistema Único de Saúde, melhorando o padrão de gastos e qualificando o financiamento tripartite em saúde.</v>
      </c>
      <c r="C349" s="2" t="s">
        <v>28</v>
      </c>
      <c r="D349" t="str">
        <f>IFERROR((_xlfn.XLOOKUP(C349,Objetivo!C:C,Objetivo!D:D)), "")</f>
        <v>Garantir os investimentos em ações e serviços de saúde no Estado do Maranhão, ampliando o cofinanciamento, a captação de recursos e aumentando a eficiência, eficácia e efetividade da execução orçamentária e financeira</v>
      </c>
      <c r="E349" s="21" t="s">
        <v>27</v>
      </c>
      <c r="F349" s="20" t="str">
        <f>IFERROR(_xlfn.XLOOKUP(E349,#REF!,#REF!), "")</f>
        <v/>
      </c>
      <c r="G349" s="22" t="s">
        <v>1037</v>
      </c>
      <c r="H349" t="s">
        <v>1031</v>
      </c>
      <c r="I349" s="24" t="s">
        <v>1043</v>
      </c>
      <c r="J349" s="6" t="s">
        <v>374</v>
      </c>
      <c r="K349" s="6">
        <v>30</v>
      </c>
      <c r="P349" s="19"/>
    </row>
    <row r="350" spans="1:16">
      <c r="E350" s="21" t="s">
        <v>27</v>
      </c>
      <c r="F350" s="20" t="str">
        <f>IFERROR(_xlfn.XLOOKUP(E350,#REF!,#REF!), "")</f>
        <v/>
      </c>
      <c r="G350" s="22" t="s">
        <v>1038</v>
      </c>
      <c r="H350" t="s">
        <v>1032</v>
      </c>
      <c r="I350" s="24" t="s">
        <v>1044</v>
      </c>
      <c r="J350" s="6" t="s">
        <v>374</v>
      </c>
      <c r="K350" s="6">
        <v>6</v>
      </c>
      <c r="P350" s="19"/>
    </row>
    <row r="351" spans="1:16">
      <c r="E351" s="21" t="s">
        <v>27</v>
      </c>
      <c r="F351" s="20" t="str">
        <f>IFERROR(_xlfn.XLOOKUP(E351,#REF!,#REF!), "")</f>
        <v/>
      </c>
      <c r="G351" s="22" t="s">
        <v>1039</v>
      </c>
      <c r="H351" t="s">
        <v>1033</v>
      </c>
      <c r="I351" s="24" t="s">
        <v>1044</v>
      </c>
      <c r="J351" s="6" t="s">
        <v>374</v>
      </c>
      <c r="K351" s="6">
        <v>30</v>
      </c>
      <c r="P351" s="19"/>
    </row>
    <row r="352" spans="1:16">
      <c r="E352" s="21" t="s">
        <v>27</v>
      </c>
      <c r="F352" s="20" t="str">
        <f>IFERROR(_xlfn.XLOOKUP(E352,#REF!,#REF!), "")</f>
        <v/>
      </c>
      <c r="G352" s="22" t="s">
        <v>1040</v>
      </c>
      <c r="H352" t="s">
        <v>1034</v>
      </c>
      <c r="I352" s="24" t="s">
        <v>1045</v>
      </c>
      <c r="J352" s="6" t="s">
        <v>374</v>
      </c>
      <c r="K352" s="6">
        <v>1</v>
      </c>
      <c r="P352" s="19"/>
    </row>
    <row r="353" spans="5:16">
      <c r="E353" s="21" t="s">
        <v>27</v>
      </c>
      <c r="F353" s="20" t="str">
        <f>IFERROR(_xlfn.XLOOKUP(E353,#REF!,#REF!), "")</f>
        <v/>
      </c>
      <c r="G353" s="22" t="s">
        <v>1041</v>
      </c>
      <c r="H353" t="s">
        <v>1035</v>
      </c>
      <c r="I353" s="24" t="s">
        <v>1046</v>
      </c>
      <c r="J353" s="6" t="s">
        <v>374</v>
      </c>
      <c r="K353" s="6">
        <v>3</v>
      </c>
      <c r="P353" s="19"/>
    </row>
    <row r="354" spans="5:16">
      <c r="E354" s="21" t="s">
        <v>27</v>
      </c>
      <c r="F354" s="20" t="str">
        <f>IFERROR(_xlfn.XLOOKUP(E354,#REF!,#REF!), "")</f>
        <v/>
      </c>
      <c r="G354" s="22" t="s">
        <v>1042</v>
      </c>
      <c r="H354" t="s">
        <v>1036</v>
      </c>
      <c r="I354" s="24" t="s">
        <v>1047</v>
      </c>
      <c r="J354" s="6" t="s">
        <v>374</v>
      </c>
      <c r="K354" s="6">
        <v>1</v>
      </c>
      <c r="P354" s="19"/>
    </row>
    <row r="355" spans="5:16">
      <c r="E355" s="21" t="s">
        <v>29</v>
      </c>
      <c r="F355" s="20" t="str">
        <f>IFERROR(_xlfn.XLOOKUP(E355,#REF!,#REF!), "")</f>
        <v/>
      </c>
      <c r="G355" s="22" t="s">
        <v>1048</v>
      </c>
      <c r="H355" t="s">
        <v>1049</v>
      </c>
      <c r="I355" s="24" t="s">
        <v>1052</v>
      </c>
      <c r="J355" s="6" t="s">
        <v>374</v>
      </c>
      <c r="K355" s="6">
        <v>38</v>
      </c>
      <c r="P355" s="19"/>
    </row>
    <row r="356" spans="5:16">
      <c r="E356" s="21" t="s">
        <v>30</v>
      </c>
      <c r="F356" s="20" t="str">
        <f>IFERROR(_xlfn.XLOOKUP(E356,#REF!,#REF!), "")</f>
        <v/>
      </c>
      <c r="G356" s="22" t="s">
        <v>1050</v>
      </c>
      <c r="H356" t="s">
        <v>1051</v>
      </c>
      <c r="I356" s="24" t="s">
        <v>965</v>
      </c>
      <c r="J356" s="6" t="s">
        <v>374</v>
      </c>
      <c r="K356" s="6">
        <v>217</v>
      </c>
      <c r="P356" s="19"/>
    </row>
    <row r="357" spans="5:16">
      <c r="E357" s="21" t="s">
        <v>31</v>
      </c>
      <c r="F357" s="20" t="str">
        <f>IFERROR(_xlfn.XLOOKUP(E357,#REF!,#REF!), "")</f>
        <v/>
      </c>
      <c r="G357" s="22" t="s">
        <v>1053</v>
      </c>
      <c r="H357" t="s">
        <v>1054</v>
      </c>
      <c r="I357" s="24" t="s">
        <v>1055</v>
      </c>
      <c r="J357" s="6" t="s">
        <v>374</v>
      </c>
      <c r="K357" s="6">
        <v>2</v>
      </c>
      <c r="P357" s="19"/>
    </row>
    <row r="358" spans="5:16">
      <c r="E358" s="21" t="s">
        <v>32</v>
      </c>
      <c r="F358" s="20" t="str">
        <f>IFERROR(_xlfn.XLOOKUP(E358,#REF!,#REF!), "")</f>
        <v/>
      </c>
      <c r="G358" s="22" t="s">
        <v>1057</v>
      </c>
      <c r="H358" t="s">
        <v>1056</v>
      </c>
      <c r="I358" s="24" t="s">
        <v>1058</v>
      </c>
      <c r="J358" s="6" t="s">
        <v>374</v>
      </c>
      <c r="K358" s="6">
        <v>60</v>
      </c>
      <c r="P358" s="19"/>
    </row>
    <row r="359" spans="5:16">
      <c r="E359" s="21"/>
      <c r="F359" s="20" t="str">
        <f>IFERROR(_xlfn.XLOOKUP(E359,#REF!,#REF!), "")</f>
        <v/>
      </c>
      <c r="G359" s="22"/>
      <c r="J359" s="6"/>
      <c r="P359" s="19"/>
    </row>
    <row r="360" spans="5:16">
      <c r="E360" s="21"/>
      <c r="F360" s="20" t="str">
        <f>IFERROR(_xlfn.XLOOKUP(E360,#REF!,#REF!), "")</f>
        <v/>
      </c>
      <c r="G360" s="22"/>
      <c r="J360" s="6"/>
      <c r="P360" s="19"/>
    </row>
    <row r="361" spans="5:16">
      <c r="E361" s="21"/>
      <c r="F361" s="20" t="str">
        <f>IFERROR(_xlfn.XLOOKUP(E361,#REF!,#REF!), "")</f>
        <v/>
      </c>
      <c r="G361" s="22"/>
      <c r="J361" s="6"/>
      <c r="P361" s="19"/>
    </row>
    <row r="362" spans="5:16">
      <c r="E362" s="21"/>
      <c r="F362" s="20" t="str">
        <f>IFERROR(_xlfn.XLOOKUP(E362,#REF!,#REF!), "")</f>
        <v/>
      </c>
      <c r="G362" s="22"/>
      <c r="J362" s="6"/>
      <c r="P362" s="19"/>
    </row>
    <row r="363" spans="5:16">
      <c r="E363" s="21"/>
      <c r="F363" s="20" t="str">
        <f>IFERROR(_xlfn.XLOOKUP(E363,#REF!,#REF!), "")</f>
        <v/>
      </c>
      <c r="G363" s="22"/>
      <c r="J363" s="6"/>
      <c r="P363" s="19"/>
    </row>
    <row r="364" spans="5:16">
      <c r="E364" s="21"/>
      <c r="F364" s="20" t="str">
        <f>IFERROR(_xlfn.XLOOKUP(E364,#REF!,#REF!), "")</f>
        <v/>
      </c>
      <c r="G364" s="22"/>
      <c r="J364" s="6"/>
      <c r="P364" s="19"/>
    </row>
    <row r="365" spans="5:16">
      <c r="E365" s="21"/>
      <c r="F365" s="20" t="str">
        <f>IFERROR(_xlfn.XLOOKUP(E365,#REF!,#REF!), "")</f>
        <v/>
      </c>
      <c r="G365" s="22"/>
      <c r="J365" s="6"/>
      <c r="P365" s="19"/>
    </row>
    <row r="366" spans="5:16">
      <c r="E366" s="21"/>
      <c r="F366" s="20" t="str">
        <f>IFERROR(_xlfn.XLOOKUP(E366,#REF!,#REF!), "")</f>
        <v/>
      </c>
      <c r="G366" s="22"/>
      <c r="J366" s="6"/>
      <c r="P366" s="19"/>
    </row>
    <row r="367" spans="5:16">
      <c r="E367" s="21"/>
      <c r="F367" s="20" t="str">
        <f>IFERROR(_xlfn.XLOOKUP(E367,#REF!,#REF!), "")</f>
        <v/>
      </c>
      <c r="G367" s="22"/>
      <c r="J367" s="6"/>
      <c r="P367" s="19"/>
    </row>
    <row r="368" spans="5:16">
      <c r="E368" s="21"/>
      <c r="F368" s="20" t="str">
        <f>IFERROR(_xlfn.XLOOKUP(E368,#REF!,#REF!), "")</f>
        <v/>
      </c>
      <c r="G368" s="22"/>
      <c r="J368" s="6"/>
      <c r="P368" s="19"/>
    </row>
    <row r="369" spans="5:16">
      <c r="E369" s="21"/>
      <c r="F369" s="20" t="str">
        <f>IFERROR(_xlfn.XLOOKUP(E369,#REF!,#REF!), "")</f>
        <v/>
      </c>
      <c r="G369" s="22"/>
      <c r="J369" s="6"/>
      <c r="P369" s="19"/>
    </row>
    <row r="370" spans="5:16">
      <c r="E370" s="21"/>
      <c r="F370" s="20" t="str">
        <f>IFERROR(_xlfn.XLOOKUP(E370,#REF!,#REF!), "")</f>
        <v/>
      </c>
      <c r="G370" s="22"/>
      <c r="J370" s="6"/>
      <c r="P370" s="19"/>
    </row>
    <row r="371" spans="5:16">
      <c r="E371" s="21"/>
      <c r="F371" s="20" t="str">
        <f>IFERROR(_xlfn.XLOOKUP(E371,#REF!,#REF!), "")</f>
        <v/>
      </c>
      <c r="G371" s="22"/>
      <c r="J371" s="6"/>
      <c r="P371" s="19"/>
    </row>
    <row r="372" spans="5:16">
      <c r="E372" s="21"/>
      <c r="F372" s="20" t="str">
        <f>IFERROR(_xlfn.XLOOKUP(E372,#REF!,#REF!), "")</f>
        <v/>
      </c>
      <c r="G372" s="22"/>
      <c r="J372" s="6"/>
      <c r="P372" s="19"/>
    </row>
    <row r="373" spans="5:16">
      <c r="E373" s="21"/>
      <c r="F373" s="20" t="str">
        <f>IFERROR(_xlfn.XLOOKUP(E373,#REF!,#REF!), "")</f>
        <v/>
      </c>
      <c r="G373" s="22"/>
      <c r="J373" s="6"/>
      <c r="P373" s="19"/>
    </row>
    <row r="374" spans="5:16">
      <c r="E374" s="21"/>
      <c r="F374" s="20" t="str">
        <f>IFERROR(_xlfn.XLOOKUP(E374,#REF!,#REF!), "")</f>
        <v/>
      </c>
      <c r="G374" s="22"/>
      <c r="J374" s="6"/>
      <c r="P374" s="19"/>
    </row>
    <row r="375" spans="5:16">
      <c r="E375" s="21"/>
      <c r="F375" s="20" t="str">
        <f>IFERROR(_xlfn.XLOOKUP(E375,#REF!,#REF!), "")</f>
        <v/>
      </c>
      <c r="G375" s="22"/>
      <c r="J375" s="6"/>
      <c r="P375" s="19"/>
    </row>
    <row r="376" spans="5:16">
      <c r="E376" s="21"/>
      <c r="F376" s="20" t="str">
        <f>IFERROR(_xlfn.XLOOKUP(E376,#REF!,#REF!), "")</f>
        <v/>
      </c>
      <c r="G376" s="22"/>
      <c r="J376" s="6"/>
      <c r="P376" s="19"/>
    </row>
    <row r="377" spans="5:16">
      <c r="E377" s="21"/>
      <c r="F377" s="20" t="str">
        <f>IFERROR(_xlfn.XLOOKUP(E377,#REF!,#REF!), "")</f>
        <v/>
      </c>
      <c r="G377" s="22"/>
      <c r="J377" s="6"/>
      <c r="P377" s="19"/>
    </row>
    <row r="378" spans="5:16">
      <c r="E378" s="21"/>
      <c r="F378" s="20" t="str">
        <f>IFERROR(_xlfn.XLOOKUP(E378,#REF!,#REF!), "")</f>
        <v/>
      </c>
      <c r="G378" s="22"/>
      <c r="J378" s="6"/>
      <c r="P378" s="19"/>
    </row>
    <row r="379" spans="5:16">
      <c r="E379" s="21"/>
      <c r="F379" s="20" t="str">
        <f>IFERROR(_xlfn.XLOOKUP(E379,#REF!,#REF!), "")</f>
        <v/>
      </c>
      <c r="G379" s="22"/>
      <c r="J379" s="6"/>
      <c r="P379" s="19"/>
    </row>
    <row r="380" spans="5:16">
      <c r="E380" s="21"/>
      <c r="F380" s="20" t="str">
        <f>IFERROR(_xlfn.XLOOKUP(E380,#REF!,#REF!), "")</f>
        <v/>
      </c>
      <c r="G380" s="22"/>
      <c r="J380" s="6"/>
      <c r="P380" s="19"/>
    </row>
    <row r="381" spans="5:16">
      <c r="E381" s="21"/>
      <c r="F381" s="20" t="str">
        <f>IFERROR(_xlfn.XLOOKUP(E381,#REF!,#REF!), "")</f>
        <v/>
      </c>
      <c r="G381" s="22"/>
      <c r="J381" s="6"/>
      <c r="P381" s="19"/>
    </row>
    <row r="382" spans="5:16">
      <c r="E382" s="21"/>
      <c r="F382" s="20" t="str">
        <f>IFERROR(_xlfn.XLOOKUP(E382,#REF!,#REF!), "")</f>
        <v/>
      </c>
      <c r="G382" s="22"/>
      <c r="J382" s="6"/>
      <c r="P382" s="19"/>
    </row>
    <row r="383" spans="5:16">
      <c r="E383" s="21"/>
      <c r="F383" s="20" t="str">
        <f>IFERROR(_xlfn.XLOOKUP(E383,#REF!,#REF!), "")</f>
        <v/>
      </c>
      <c r="G383" s="22"/>
      <c r="J383" s="6"/>
      <c r="P383" s="19"/>
    </row>
    <row r="384" spans="5:16">
      <c r="E384" s="21"/>
      <c r="F384" s="20" t="str">
        <f>IFERROR(_xlfn.XLOOKUP(E384,#REF!,#REF!), "")</f>
        <v/>
      </c>
      <c r="G384" s="22"/>
      <c r="J384" s="6"/>
      <c r="P384" s="19"/>
    </row>
    <row r="385" spans="5:16">
      <c r="E385" s="21"/>
      <c r="F385" s="20" t="str">
        <f>IFERROR(_xlfn.XLOOKUP(E385,#REF!,#REF!), "")</f>
        <v/>
      </c>
      <c r="G385" s="22"/>
      <c r="J385" s="6"/>
      <c r="P385" s="19"/>
    </row>
    <row r="386" spans="5:16">
      <c r="E386" s="21"/>
      <c r="F386" s="20" t="str">
        <f>IFERROR(_xlfn.XLOOKUP(E386,#REF!,#REF!), "")</f>
        <v/>
      </c>
      <c r="G386" s="22"/>
      <c r="J386" s="6"/>
      <c r="P386" s="19"/>
    </row>
    <row r="387" spans="5:16">
      <c r="E387" s="21"/>
      <c r="F387" s="20" t="str">
        <f>IFERROR(_xlfn.XLOOKUP(E387,#REF!,#REF!), "")</f>
        <v/>
      </c>
      <c r="G387" s="22"/>
      <c r="J387" s="6"/>
      <c r="P387" s="19"/>
    </row>
    <row r="388" spans="5:16">
      <c r="E388" s="21"/>
      <c r="F388" s="20" t="str">
        <f>IFERROR(_xlfn.XLOOKUP(E388,#REF!,#REF!), "")</f>
        <v/>
      </c>
      <c r="G388" s="22"/>
      <c r="J388" s="6"/>
      <c r="P388" s="19"/>
    </row>
    <row r="389" spans="5:16">
      <c r="E389" s="21"/>
      <c r="F389" s="20" t="str">
        <f>IFERROR(_xlfn.XLOOKUP(E389,#REF!,#REF!), "")</f>
        <v/>
      </c>
      <c r="G389" s="22"/>
      <c r="J389" s="6"/>
      <c r="P389" s="19"/>
    </row>
    <row r="390" spans="5:16">
      <c r="E390" s="21"/>
      <c r="F390" s="20" t="str">
        <f>IFERROR(_xlfn.XLOOKUP(E390,#REF!,#REF!), "")</f>
        <v/>
      </c>
      <c r="G390" s="22"/>
      <c r="J390" s="6"/>
      <c r="P390" s="19"/>
    </row>
    <row r="391" spans="5:16">
      <c r="E391" s="21"/>
      <c r="F391" s="20" t="str">
        <f>IFERROR(_xlfn.XLOOKUP(E391,#REF!,#REF!), "")</f>
        <v/>
      </c>
      <c r="G391" s="22"/>
      <c r="J391" s="6"/>
      <c r="P391" s="19"/>
    </row>
    <row r="392" spans="5:16">
      <c r="E392" s="21"/>
      <c r="F392" s="20" t="str">
        <f>IFERROR(_xlfn.XLOOKUP(E392,#REF!,#REF!), "")</f>
        <v/>
      </c>
      <c r="G392" s="22"/>
      <c r="J392" s="6"/>
      <c r="P392" s="19"/>
    </row>
    <row r="393" spans="5:16">
      <c r="E393" s="21"/>
      <c r="F393" s="20" t="str">
        <f>IFERROR(_xlfn.XLOOKUP(E393,#REF!,#REF!), "")</f>
        <v/>
      </c>
      <c r="G393" s="22"/>
      <c r="J393" s="6"/>
      <c r="P393" s="19"/>
    </row>
    <row r="394" spans="5:16">
      <c r="E394" s="21"/>
      <c r="F394" s="20" t="str">
        <f>IFERROR(_xlfn.XLOOKUP(E394,#REF!,#REF!), "")</f>
        <v/>
      </c>
      <c r="G394" s="22"/>
      <c r="J394" s="6"/>
      <c r="P394" s="19"/>
    </row>
    <row r="395" spans="5:16">
      <c r="E395" s="21"/>
      <c r="F395" s="20" t="str">
        <f>IFERROR(_xlfn.XLOOKUP(E395,#REF!,#REF!), "")</f>
        <v/>
      </c>
      <c r="G395" s="22"/>
      <c r="J395" s="6"/>
      <c r="P395" s="19"/>
    </row>
    <row r="396" spans="5:16">
      <c r="E396" s="21"/>
      <c r="F396" s="20" t="str">
        <f>IFERROR(_xlfn.XLOOKUP(E396,#REF!,#REF!), "")</f>
        <v/>
      </c>
      <c r="G396" s="22"/>
      <c r="J396" s="6"/>
      <c r="P396" s="19"/>
    </row>
    <row r="397" spans="5:16">
      <c r="E397" s="21"/>
      <c r="F397" s="20" t="str">
        <f>IFERROR(_xlfn.XLOOKUP(E397,#REF!,#REF!), "")</f>
        <v/>
      </c>
      <c r="G397" s="22"/>
      <c r="J397" s="6"/>
      <c r="P397" s="19"/>
    </row>
    <row r="398" spans="5:16">
      <c r="E398" s="21"/>
      <c r="F398" s="20" t="str">
        <f>IFERROR(_xlfn.XLOOKUP(E398,#REF!,#REF!), "")</f>
        <v/>
      </c>
      <c r="G398" s="22"/>
      <c r="J398" s="6"/>
      <c r="P398" s="19"/>
    </row>
    <row r="399" spans="5:16">
      <c r="E399" s="21"/>
      <c r="F399" s="20" t="str">
        <f>IFERROR(_xlfn.XLOOKUP(E399,#REF!,#REF!), "")</f>
        <v/>
      </c>
      <c r="G399" s="22"/>
      <c r="J399" s="6"/>
      <c r="P399" s="19"/>
    </row>
    <row r="400" spans="5:16">
      <c r="E400" s="21"/>
      <c r="F400" s="20" t="str">
        <f>IFERROR(_xlfn.XLOOKUP(E400,#REF!,#REF!), "")</f>
        <v/>
      </c>
      <c r="G400" s="22"/>
      <c r="J400" s="6"/>
      <c r="P400" s="19"/>
    </row>
    <row r="401" spans="5:16">
      <c r="E401" s="21"/>
      <c r="F401" s="20" t="str">
        <f>IFERROR(_xlfn.XLOOKUP(E401,#REF!,#REF!), "")</f>
        <v/>
      </c>
      <c r="G401" s="22"/>
      <c r="J401" s="6"/>
      <c r="P401" s="19"/>
    </row>
    <row r="402" spans="5:16">
      <c r="E402" s="21"/>
      <c r="F402" s="20" t="str">
        <f>IFERROR(_xlfn.XLOOKUP(E402,#REF!,#REF!), "")</f>
        <v/>
      </c>
      <c r="G402" s="22"/>
      <c r="J402" s="6"/>
      <c r="P402" s="19"/>
    </row>
    <row r="403" spans="5:16">
      <c r="E403" s="21"/>
      <c r="F403" s="20" t="str">
        <f>IFERROR(_xlfn.XLOOKUP(E403,#REF!,#REF!), "")</f>
        <v/>
      </c>
      <c r="G403" s="22"/>
      <c r="J403" s="6"/>
      <c r="P403" s="19"/>
    </row>
    <row r="404" spans="5:16">
      <c r="E404" s="21"/>
      <c r="F404" s="20" t="str">
        <f>IFERROR(_xlfn.XLOOKUP(E404,#REF!,#REF!), "")</f>
        <v/>
      </c>
      <c r="G404" s="22"/>
      <c r="J404" s="6"/>
      <c r="P404" s="19"/>
    </row>
    <row r="405" spans="5:16">
      <c r="E405" s="21"/>
      <c r="F405" s="20" t="str">
        <f>IFERROR(_xlfn.XLOOKUP(E405,#REF!,#REF!), "")</f>
        <v/>
      </c>
      <c r="G405" s="22"/>
      <c r="J405" s="6"/>
      <c r="P405" s="19"/>
    </row>
    <row r="406" spans="5:16">
      <c r="E406" s="21"/>
      <c r="F406" s="20" t="str">
        <f>IFERROR(_xlfn.XLOOKUP(E406,#REF!,#REF!), "")</f>
        <v/>
      </c>
      <c r="G406" s="22"/>
      <c r="J406" s="6"/>
      <c r="P406" s="19"/>
    </row>
    <row r="407" spans="5:16">
      <c r="E407" s="21"/>
      <c r="F407" s="20" t="str">
        <f>IFERROR(_xlfn.XLOOKUP(E407,#REF!,#REF!), "")</f>
        <v/>
      </c>
      <c r="G407" s="22"/>
      <c r="J407" s="6"/>
      <c r="P407" s="19"/>
    </row>
    <row r="408" spans="5:16">
      <c r="E408" s="21"/>
      <c r="F408" s="20" t="str">
        <f>IFERROR(_xlfn.XLOOKUP(E408,#REF!,#REF!), "")</f>
        <v/>
      </c>
      <c r="G408" s="22"/>
      <c r="J408" s="6"/>
      <c r="P408" s="19"/>
    </row>
    <row r="409" spans="5:16">
      <c r="E409" s="21"/>
      <c r="F409" s="20" t="str">
        <f>IFERROR(_xlfn.XLOOKUP(E409,#REF!,#REF!), "")</f>
        <v/>
      </c>
      <c r="G409" s="22"/>
      <c r="J409" s="6"/>
      <c r="P409" s="19"/>
    </row>
    <row r="410" spans="5:16">
      <c r="E410" s="21"/>
      <c r="F410" s="20" t="str">
        <f>IFERROR(_xlfn.XLOOKUP(E410,#REF!,#REF!), "")</f>
        <v/>
      </c>
      <c r="G410" s="22"/>
      <c r="I410" s="23"/>
      <c r="K410"/>
      <c r="P410" s="19"/>
    </row>
    <row r="411" spans="5:16">
      <c r="E411" s="21"/>
      <c r="F411" s="20" t="str">
        <f>IFERROR(_xlfn.XLOOKUP(E411,#REF!,#REF!), "")</f>
        <v/>
      </c>
      <c r="G411" s="22"/>
      <c r="I411" s="23"/>
      <c r="K411"/>
      <c r="P411" s="19"/>
    </row>
    <row r="412" spans="5:16">
      <c r="E412" s="21"/>
      <c r="F412" s="20" t="str">
        <f>IFERROR(_xlfn.XLOOKUP(E412,#REF!,#REF!), "")</f>
        <v/>
      </c>
      <c r="G412" s="22"/>
      <c r="I412" s="23"/>
      <c r="K412"/>
      <c r="P412" s="19"/>
    </row>
    <row r="413" spans="5:16">
      <c r="E413" s="21"/>
      <c r="F413" s="20" t="str">
        <f>IFERROR(_xlfn.XLOOKUP(E413,#REF!,#REF!), "")</f>
        <v/>
      </c>
      <c r="G413" s="22"/>
      <c r="I413" s="23"/>
      <c r="K413"/>
      <c r="P413" s="19"/>
    </row>
    <row r="414" spans="5:16">
      <c r="E414" s="21"/>
      <c r="F414" s="20" t="str">
        <f>IFERROR(_xlfn.XLOOKUP(E414,#REF!,#REF!), "")</f>
        <v/>
      </c>
      <c r="G414" s="22"/>
      <c r="J414" s="6"/>
      <c r="P414" s="19"/>
    </row>
    <row r="415" spans="5:16">
      <c r="E415" s="21"/>
      <c r="F415" s="20" t="str">
        <f>IFERROR(_xlfn.XLOOKUP(E415,#REF!,#REF!), "")</f>
        <v/>
      </c>
      <c r="G415" s="22"/>
      <c r="J415" s="6"/>
      <c r="P415" s="19"/>
    </row>
    <row r="416" spans="5:16">
      <c r="E416" s="21"/>
      <c r="F416" s="20" t="str">
        <f>IFERROR(_xlfn.XLOOKUP(E416,#REF!,#REF!), "")</f>
        <v/>
      </c>
      <c r="G416" s="22"/>
      <c r="J416" s="6"/>
      <c r="P416" s="19"/>
    </row>
    <row r="417" spans="5:16">
      <c r="E417" s="21"/>
      <c r="F417" s="20" t="str">
        <f>IFERROR(_xlfn.XLOOKUP(E417,#REF!,#REF!), "")</f>
        <v/>
      </c>
      <c r="G417" s="22"/>
      <c r="J417" s="6"/>
      <c r="P417" s="19"/>
    </row>
    <row r="418" spans="5:16">
      <c r="E418" s="21"/>
      <c r="F418" s="20" t="str">
        <f>IFERROR(_xlfn.XLOOKUP(E418,#REF!,#REF!), "")</f>
        <v/>
      </c>
      <c r="G418" s="22"/>
      <c r="J418" s="6"/>
      <c r="P418" s="19"/>
    </row>
    <row r="419" spans="5:16">
      <c r="E419" s="21"/>
      <c r="F419" s="20" t="str">
        <f>IFERROR(_xlfn.XLOOKUP(E419,#REF!,#REF!), "")</f>
        <v/>
      </c>
      <c r="G419" s="22"/>
      <c r="J419" s="6"/>
      <c r="P419" s="19"/>
    </row>
    <row r="420" spans="5:16">
      <c r="E420" s="21"/>
      <c r="F420" s="20" t="str">
        <f>IFERROR(_xlfn.XLOOKUP(E420,#REF!,#REF!), "")</f>
        <v/>
      </c>
      <c r="G420" s="22"/>
      <c r="J420" s="6"/>
      <c r="P420" s="19"/>
    </row>
    <row r="421" spans="5:16">
      <c r="E421" s="21"/>
      <c r="F421" s="20" t="str">
        <f>IFERROR(_xlfn.XLOOKUP(E421,#REF!,#REF!), "")</f>
        <v/>
      </c>
      <c r="G421" s="22"/>
      <c r="J421" s="6"/>
      <c r="P421" s="19"/>
    </row>
    <row r="422" spans="5:16">
      <c r="E422" s="21"/>
      <c r="F422" s="20" t="str">
        <f>IFERROR(_xlfn.XLOOKUP(E422,#REF!,#REF!), "")</f>
        <v/>
      </c>
      <c r="G422" s="22"/>
      <c r="J422" s="6"/>
      <c r="P422" s="19"/>
    </row>
    <row r="423" spans="5:16">
      <c r="E423" s="21"/>
      <c r="F423" s="20" t="str">
        <f>IFERROR(_xlfn.XLOOKUP(E423,#REF!,#REF!), "")</f>
        <v/>
      </c>
      <c r="G423" s="22"/>
      <c r="J423" s="6"/>
      <c r="P423" s="19"/>
    </row>
    <row r="424" spans="5:16">
      <c r="E424" s="21"/>
      <c r="F424" s="20" t="str">
        <f>IFERROR(_xlfn.XLOOKUP(E424,#REF!,#REF!), "")</f>
        <v/>
      </c>
      <c r="G424" s="22"/>
      <c r="J424" s="6"/>
      <c r="P424" s="19"/>
    </row>
    <row r="425" spans="5:16">
      <c r="E425" s="21"/>
      <c r="F425" s="20" t="str">
        <f>IFERROR(_xlfn.XLOOKUP(E425,#REF!,#REF!), "")</f>
        <v/>
      </c>
      <c r="G425" s="22"/>
      <c r="J425" s="6"/>
      <c r="P425" s="19"/>
    </row>
    <row r="426" spans="5:16">
      <c r="E426" s="21"/>
      <c r="F426" s="20" t="str">
        <f>IFERROR(_xlfn.XLOOKUP(E426,#REF!,#REF!), "")</f>
        <v/>
      </c>
      <c r="G426" s="22"/>
      <c r="J426" s="6"/>
      <c r="P426" s="19"/>
    </row>
    <row r="427" spans="5:16">
      <c r="E427" s="21"/>
      <c r="F427" s="20" t="str">
        <f>IFERROR(_xlfn.XLOOKUP(E427,#REF!,#REF!), "")</f>
        <v/>
      </c>
      <c r="G427" s="22"/>
      <c r="J427" s="6"/>
      <c r="P427" s="19"/>
    </row>
    <row r="428" spans="5:16">
      <c r="E428" s="21"/>
      <c r="F428" s="20" t="str">
        <f>IFERROR(_xlfn.XLOOKUP(E428,#REF!,#REF!), "")</f>
        <v/>
      </c>
      <c r="G428" s="22"/>
      <c r="J428" s="6"/>
      <c r="P428" s="19"/>
    </row>
    <row r="429" spans="5:16">
      <c r="E429" s="21"/>
      <c r="F429" s="20" t="str">
        <f>IFERROR(_xlfn.XLOOKUP(E429,#REF!,#REF!), "")</f>
        <v/>
      </c>
      <c r="G429" s="22"/>
      <c r="J429" s="6"/>
      <c r="P429" s="19"/>
    </row>
    <row r="430" spans="5:16">
      <c r="E430" s="21"/>
      <c r="F430" s="20" t="str">
        <f>IFERROR(_xlfn.XLOOKUP(E430,#REF!,#REF!), "")</f>
        <v/>
      </c>
      <c r="G430" s="22"/>
      <c r="J430" s="6"/>
      <c r="P430" s="19"/>
    </row>
    <row r="431" spans="5:16">
      <c r="E431" s="21"/>
      <c r="F431" s="20" t="str">
        <f>IFERROR(_xlfn.XLOOKUP(E431,#REF!,#REF!), "")</f>
        <v/>
      </c>
      <c r="G431" s="22"/>
      <c r="J431" s="6"/>
      <c r="P431" s="19"/>
    </row>
    <row r="432" spans="5:16">
      <c r="E432" s="21"/>
      <c r="F432" s="20" t="str">
        <f>IFERROR(_xlfn.XLOOKUP(E432,#REF!,#REF!), "")</f>
        <v/>
      </c>
      <c r="G432" s="22"/>
      <c r="J432" s="6"/>
      <c r="P432" s="19"/>
    </row>
    <row r="433" spans="5:16">
      <c r="E433" s="21"/>
      <c r="F433" s="20" t="str">
        <f>IFERROR(_xlfn.XLOOKUP(E433,#REF!,#REF!), "")</f>
        <v/>
      </c>
      <c r="G433" s="22"/>
      <c r="J433" s="6"/>
      <c r="P433" s="19"/>
    </row>
    <row r="434" spans="5:16">
      <c r="E434" s="21"/>
      <c r="F434" s="20" t="str">
        <f>IFERROR(_xlfn.XLOOKUP(E434,#REF!,#REF!), "")</f>
        <v/>
      </c>
      <c r="G434" s="22"/>
      <c r="J434" s="6"/>
      <c r="P434" s="19"/>
    </row>
    <row r="435" spans="5:16">
      <c r="E435" s="21"/>
      <c r="F435" s="20" t="str">
        <f>IFERROR(_xlfn.XLOOKUP(E435,#REF!,#REF!), "")</f>
        <v/>
      </c>
      <c r="G435" s="22"/>
      <c r="J435" s="6"/>
      <c r="P435" s="19"/>
    </row>
    <row r="436" spans="5:16">
      <c r="E436" s="21"/>
      <c r="F436" s="20" t="str">
        <f>IFERROR(_xlfn.XLOOKUP(E436,#REF!,#REF!), "")</f>
        <v/>
      </c>
      <c r="G436" s="22"/>
      <c r="J436" s="6"/>
      <c r="P436" s="19"/>
    </row>
    <row r="437" spans="5:16">
      <c r="E437" s="21"/>
      <c r="F437" s="20" t="str">
        <f>IFERROR(_xlfn.XLOOKUP(E437,#REF!,#REF!), "")</f>
        <v/>
      </c>
      <c r="G437" s="22"/>
      <c r="J437" s="6"/>
      <c r="P437" s="19"/>
    </row>
    <row r="438" spans="5:16">
      <c r="E438" s="21"/>
      <c r="F438" s="20" t="str">
        <f>IFERROR(_xlfn.XLOOKUP(E438,#REF!,#REF!), "")</f>
        <v/>
      </c>
      <c r="G438" s="22"/>
      <c r="J438" s="6"/>
      <c r="P438" s="19"/>
    </row>
    <row r="439" spans="5:16">
      <c r="E439" s="21"/>
      <c r="F439" s="20" t="str">
        <f>IFERROR(_xlfn.XLOOKUP(E439,#REF!,#REF!), "")</f>
        <v/>
      </c>
      <c r="G439" s="22"/>
      <c r="J439" s="6"/>
      <c r="P439" s="19"/>
    </row>
    <row r="440" spans="5:16">
      <c r="E440" s="21"/>
      <c r="F440" s="20" t="str">
        <f>IFERROR(_xlfn.XLOOKUP(E440,#REF!,#REF!), "")</f>
        <v/>
      </c>
      <c r="G440" s="22"/>
      <c r="J440" s="6"/>
      <c r="P440" s="19"/>
    </row>
    <row r="441" spans="5:16">
      <c r="E441" s="21"/>
      <c r="F441" s="20" t="str">
        <f>IFERROR(_xlfn.XLOOKUP(E441,#REF!,#REF!), "")</f>
        <v/>
      </c>
      <c r="G441" s="22"/>
      <c r="J441" s="6"/>
      <c r="P441" s="19"/>
    </row>
    <row r="442" spans="5:16">
      <c r="E442" s="21"/>
      <c r="F442" s="20" t="str">
        <f>IFERROR(_xlfn.XLOOKUP(E442,#REF!,#REF!), "")</f>
        <v/>
      </c>
      <c r="G442" s="22"/>
      <c r="J442" s="6"/>
      <c r="P442" s="19"/>
    </row>
    <row r="443" spans="5:16">
      <c r="E443" s="21"/>
      <c r="F443" s="20" t="str">
        <f>IFERROR(_xlfn.XLOOKUP(E443,#REF!,#REF!), "")</f>
        <v/>
      </c>
      <c r="G443" s="22"/>
      <c r="J443" s="6"/>
      <c r="P443" s="19"/>
    </row>
    <row r="444" spans="5:16">
      <c r="E444" s="21"/>
      <c r="F444" s="20" t="str">
        <f>IFERROR(_xlfn.XLOOKUP(E444,#REF!,#REF!), "")</f>
        <v/>
      </c>
      <c r="G444" s="22"/>
      <c r="J444" s="6"/>
      <c r="P444" s="19"/>
    </row>
    <row r="445" spans="5:16">
      <c r="E445" s="21"/>
      <c r="F445" s="20" t="str">
        <f>IFERROR(_xlfn.XLOOKUP(E445,#REF!,#REF!), "")</f>
        <v/>
      </c>
      <c r="G445" s="22"/>
      <c r="J445" s="6"/>
      <c r="P445" s="19"/>
    </row>
    <row r="446" spans="5:16">
      <c r="E446" s="21"/>
      <c r="F446" s="20" t="str">
        <f>IFERROR(_xlfn.XLOOKUP(E446,#REF!,#REF!), "")</f>
        <v/>
      </c>
      <c r="G446" s="22"/>
      <c r="J446" s="6"/>
      <c r="P446" s="19"/>
    </row>
    <row r="447" spans="5:16">
      <c r="E447" s="21"/>
      <c r="F447" s="20" t="str">
        <f>IFERROR(_xlfn.XLOOKUP(E447,#REF!,#REF!), "")</f>
        <v/>
      </c>
      <c r="G447" s="22"/>
      <c r="J447" s="6"/>
      <c r="P447" s="19"/>
    </row>
    <row r="448" spans="5:16">
      <c r="E448" s="21"/>
      <c r="F448" s="20" t="str">
        <f>IFERROR(_xlfn.XLOOKUP(E448,#REF!,#REF!), "")</f>
        <v/>
      </c>
      <c r="G448" s="22"/>
      <c r="J448" s="6"/>
      <c r="P448" s="19"/>
    </row>
    <row r="449" spans="5:16">
      <c r="E449" s="21"/>
      <c r="F449" s="20" t="str">
        <f>IFERROR(_xlfn.XLOOKUP(E449,#REF!,#REF!), "")</f>
        <v/>
      </c>
      <c r="G449" s="22"/>
      <c r="J449" s="6"/>
      <c r="P449" s="19"/>
    </row>
    <row r="450" spans="5:16">
      <c r="E450" s="21"/>
      <c r="F450" s="20" t="str">
        <f>IFERROR(_xlfn.XLOOKUP(E450,#REF!,#REF!), "")</f>
        <v/>
      </c>
      <c r="G450" s="22"/>
      <c r="J450" s="6"/>
      <c r="P450" s="19"/>
    </row>
    <row r="451" spans="5:16">
      <c r="E451" s="21"/>
      <c r="F451" s="20" t="str">
        <f>IFERROR(_xlfn.XLOOKUP(E451,#REF!,#REF!), "")</f>
        <v/>
      </c>
      <c r="G451" s="22"/>
      <c r="J451" s="6"/>
      <c r="P451" s="19"/>
    </row>
    <row r="452" spans="5:16">
      <c r="E452" s="21"/>
      <c r="F452" s="20" t="str">
        <f>IFERROR(_xlfn.XLOOKUP(E452,#REF!,#REF!), "")</f>
        <v/>
      </c>
      <c r="G452" s="22"/>
      <c r="J452" s="6"/>
      <c r="P452" s="19"/>
    </row>
    <row r="453" spans="5:16">
      <c r="E453" s="21"/>
      <c r="F453" s="20" t="str">
        <f>IFERROR(_xlfn.XLOOKUP(E453,#REF!,#REF!), "")</f>
        <v/>
      </c>
      <c r="G453" s="22"/>
      <c r="J453" s="6"/>
      <c r="P453" s="19"/>
    </row>
    <row r="454" spans="5:16">
      <c r="E454" s="21"/>
      <c r="F454" s="20" t="str">
        <f>IFERROR(_xlfn.XLOOKUP(E454,#REF!,#REF!), "")</f>
        <v/>
      </c>
      <c r="G454" s="22"/>
      <c r="J454" s="6"/>
      <c r="P454" s="19"/>
    </row>
    <row r="455" spans="5:16">
      <c r="E455" s="21"/>
      <c r="F455" s="20" t="str">
        <f>IFERROR(_xlfn.XLOOKUP(E455,#REF!,#REF!), "")</f>
        <v/>
      </c>
      <c r="G455" s="22"/>
      <c r="J455" s="6"/>
      <c r="P455" s="19"/>
    </row>
    <row r="456" spans="5:16">
      <c r="E456" s="21"/>
      <c r="F456" s="20" t="str">
        <f>IFERROR(_xlfn.XLOOKUP(E456,#REF!,#REF!), "")</f>
        <v/>
      </c>
      <c r="G456" s="22"/>
      <c r="J456" s="6"/>
      <c r="P456" s="19"/>
    </row>
    <row r="457" spans="5:16">
      <c r="E457" s="21"/>
      <c r="F457" s="20" t="str">
        <f>IFERROR(_xlfn.XLOOKUP(E457,#REF!,#REF!), "")</f>
        <v/>
      </c>
      <c r="G457" s="22"/>
      <c r="J457" s="6"/>
      <c r="P457" s="19"/>
    </row>
    <row r="458" spans="5:16">
      <c r="E458" s="21"/>
      <c r="F458" s="20" t="str">
        <f>IFERROR(_xlfn.XLOOKUP(E458,#REF!,#REF!), "")</f>
        <v/>
      </c>
      <c r="G458" s="22"/>
      <c r="J458" s="6"/>
      <c r="P458" s="19"/>
    </row>
    <row r="459" spans="5:16">
      <c r="E459" s="21"/>
      <c r="F459" s="20" t="str">
        <f>IFERROR(_xlfn.XLOOKUP(E459,#REF!,#REF!), "")</f>
        <v/>
      </c>
      <c r="G459" s="22"/>
      <c r="J459" s="6"/>
      <c r="P459" s="19"/>
    </row>
    <row r="460" spans="5:16">
      <c r="E460" s="21"/>
      <c r="F460" s="20" t="str">
        <f>IFERROR(_xlfn.XLOOKUP(E460,#REF!,#REF!), "")</f>
        <v/>
      </c>
      <c r="G460" s="22"/>
      <c r="J460" s="6"/>
      <c r="P460" s="19"/>
    </row>
    <row r="461" spans="5:16">
      <c r="E461" s="21"/>
      <c r="F461" s="20" t="str">
        <f>IFERROR(_xlfn.XLOOKUP(E461,#REF!,#REF!), "")</f>
        <v/>
      </c>
      <c r="G461" s="22"/>
      <c r="J461" s="6"/>
      <c r="P461" s="19"/>
    </row>
    <row r="462" spans="5:16">
      <c r="E462" s="21"/>
      <c r="F462" s="20" t="str">
        <f>IFERROR(_xlfn.XLOOKUP(E462,#REF!,#REF!), "")</f>
        <v/>
      </c>
      <c r="G462" s="22"/>
      <c r="J462" s="6"/>
      <c r="P462" s="19"/>
    </row>
    <row r="463" spans="5:16">
      <c r="E463" s="21"/>
      <c r="F463" s="20" t="str">
        <f>IFERROR(_xlfn.XLOOKUP(E463,#REF!,#REF!), "")</f>
        <v/>
      </c>
      <c r="G463" s="22"/>
      <c r="J463" s="6"/>
      <c r="P463" s="19"/>
    </row>
    <row r="464" spans="5:16">
      <c r="E464" s="21"/>
      <c r="F464" s="20" t="str">
        <f>IFERROR(_xlfn.XLOOKUP(E464,#REF!,#REF!), "")</f>
        <v/>
      </c>
      <c r="G464" s="22"/>
      <c r="J464" s="6"/>
      <c r="P464" s="19"/>
    </row>
    <row r="465" spans="5:16">
      <c r="E465" s="21"/>
      <c r="F465" s="20" t="str">
        <f>IFERROR(_xlfn.XLOOKUP(E465,#REF!,#REF!), "")</f>
        <v/>
      </c>
      <c r="G465" s="22"/>
      <c r="J465" s="6"/>
      <c r="P465" s="19"/>
    </row>
    <row r="466" spans="5:16">
      <c r="E466" s="21"/>
      <c r="F466" s="20" t="str">
        <f>IFERROR(_xlfn.XLOOKUP(E466,#REF!,#REF!), "")</f>
        <v/>
      </c>
      <c r="G466" s="22"/>
      <c r="J466" s="6"/>
      <c r="P466" s="19"/>
    </row>
    <row r="467" spans="5:16">
      <c r="E467" s="21"/>
      <c r="F467" s="20" t="str">
        <f>IFERROR(_xlfn.XLOOKUP(E467,#REF!,#REF!), "")</f>
        <v/>
      </c>
      <c r="G467" s="22"/>
      <c r="J467" s="6"/>
      <c r="P467" s="19"/>
    </row>
    <row r="468" spans="5:16">
      <c r="E468" s="21"/>
      <c r="F468" s="20" t="str">
        <f>IFERROR(_xlfn.XLOOKUP(E468,#REF!,#REF!), "")</f>
        <v/>
      </c>
      <c r="G468" s="22"/>
      <c r="J468" s="6"/>
      <c r="P468" s="19"/>
    </row>
    <row r="469" spans="5:16">
      <c r="E469" s="21"/>
      <c r="F469" s="20" t="str">
        <f>IFERROR(_xlfn.XLOOKUP(E469,#REF!,#REF!), "")</f>
        <v/>
      </c>
      <c r="G469" s="22"/>
      <c r="J469" s="6"/>
      <c r="P469" s="19"/>
    </row>
    <row r="470" spans="5:16">
      <c r="E470" s="21"/>
      <c r="F470" s="20" t="str">
        <f>IFERROR(_xlfn.XLOOKUP(E470,#REF!,#REF!), "")</f>
        <v/>
      </c>
      <c r="G470" s="22"/>
      <c r="J470" s="6"/>
      <c r="P470" s="19"/>
    </row>
    <row r="471" spans="5:16">
      <c r="E471" s="21"/>
      <c r="F471" s="20" t="str">
        <f>IFERROR(_xlfn.XLOOKUP(E471,#REF!,#REF!), "")</f>
        <v/>
      </c>
      <c r="G471" s="22"/>
      <c r="J471" s="6"/>
      <c r="P471" s="19"/>
    </row>
    <row r="472" spans="5:16">
      <c r="E472" s="21"/>
      <c r="F472" s="20" t="str">
        <f>IFERROR(_xlfn.XLOOKUP(E472,#REF!,#REF!), "")</f>
        <v/>
      </c>
      <c r="G472" s="22"/>
      <c r="J472" s="6"/>
      <c r="P472" s="19"/>
    </row>
    <row r="473" spans="5:16">
      <c r="E473" s="21"/>
      <c r="F473" s="20" t="str">
        <f>IFERROR(_xlfn.XLOOKUP(E473,#REF!,#REF!), "")</f>
        <v/>
      </c>
      <c r="G473" s="22"/>
      <c r="J473" s="6"/>
      <c r="P473" s="19"/>
    </row>
    <row r="474" spans="5:16">
      <c r="E474" s="21"/>
      <c r="F474" s="20" t="str">
        <f>IFERROR(_xlfn.XLOOKUP(E474,#REF!,#REF!), "")</f>
        <v/>
      </c>
      <c r="G474" s="22"/>
      <c r="J474" s="6"/>
      <c r="P474" s="19"/>
    </row>
    <row r="475" spans="5:16">
      <c r="E475" s="21"/>
      <c r="F475" s="20" t="str">
        <f>IFERROR(_xlfn.XLOOKUP(E475,#REF!,#REF!), "")</f>
        <v/>
      </c>
      <c r="G475" s="22"/>
      <c r="J475" s="6"/>
      <c r="P475" s="19"/>
    </row>
    <row r="476" spans="5:16">
      <c r="E476" s="21"/>
      <c r="F476" s="20" t="str">
        <f>IFERROR(_xlfn.XLOOKUP(E476,#REF!,#REF!), "")</f>
        <v/>
      </c>
      <c r="G476" s="22"/>
      <c r="J476" s="6"/>
      <c r="P476" s="19"/>
    </row>
    <row r="477" spans="5:16">
      <c r="E477" s="21"/>
      <c r="F477" s="20" t="str">
        <f>IFERROR(_xlfn.XLOOKUP(E477,#REF!,#REF!), "")</f>
        <v/>
      </c>
      <c r="G477" s="22"/>
      <c r="J477" s="6"/>
      <c r="P477" s="19"/>
    </row>
    <row r="478" spans="5:16">
      <c r="E478" s="21"/>
      <c r="F478" s="20" t="str">
        <f>IFERROR(_xlfn.XLOOKUP(E478,#REF!,#REF!), "")</f>
        <v/>
      </c>
      <c r="G478" s="22"/>
      <c r="J478" s="6"/>
      <c r="P478" s="19"/>
    </row>
    <row r="479" spans="5:16">
      <c r="E479" s="21"/>
      <c r="F479" s="20" t="str">
        <f>IFERROR(_xlfn.XLOOKUP(E479,#REF!,#REF!), "")</f>
        <v/>
      </c>
      <c r="G479" s="22"/>
      <c r="J479" s="6"/>
      <c r="P479" s="19"/>
    </row>
    <row r="480" spans="5:16">
      <c r="E480" s="21"/>
      <c r="F480" s="20" t="str">
        <f>IFERROR(_xlfn.XLOOKUP(E480,#REF!,#REF!), "")</f>
        <v/>
      </c>
      <c r="G480" s="22"/>
      <c r="J480" s="6"/>
      <c r="P480" s="19"/>
    </row>
    <row r="481" spans="5:16">
      <c r="E481" s="21"/>
      <c r="F481" s="20" t="str">
        <f>IFERROR(_xlfn.XLOOKUP(E481,#REF!,#REF!), "")</f>
        <v/>
      </c>
      <c r="G481" s="22"/>
      <c r="J481" s="6"/>
      <c r="P481" s="19"/>
    </row>
    <row r="482" spans="5:16">
      <c r="E482" s="21"/>
      <c r="F482" s="20" t="str">
        <f>IFERROR(_xlfn.XLOOKUP(E482,#REF!,#REF!), "")</f>
        <v/>
      </c>
      <c r="G482" s="22"/>
      <c r="J482" s="6"/>
      <c r="P482" s="19"/>
    </row>
    <row r="483" spans="5:16">
      <c r="E483" s="21"/>
      <c r="F483" s="20" t="str">
        <f>IFERROR(_xlfn.XLOOKUP(E483,#REF!,#REF!), "")</f>
        <v/>
      </c>
      <c r="G483" s="22"/>
      <c r="J483" s="6"/>
      <c r="P483" s="19"/>
    </row>
    <row r="484" spans="5:16">
      <c r="E484" s="21"/>
      <c r="F484" s="20" t="str">
        <f>IFERROR(_xlfn.XLOOKUP(E484,#REF!,#REF!), "")</f>
        <v/>
      </c>
      <c r="G484" s="22"/>
      <c r="J484" s="6"/>
      <c r="P484" s="19"/>
    </row>
    <row r="485" spans="5:16">
      <c r="E485" s="21"/>
      <c r="F485" s="20" t="str">
        <f>IFERROR(_xlfn.XLOOKUP(E485,#REF!,#REF!), "")</f>
        <v/>
      </c>
      <c r="G485" s="22"/>
      <c r="J485" s="6"/>
      <c r="P485" s="19"/>
    </row>
    <row r="486" spans="5:16">
      <c r="E486" s="21"/>
      <c r="F486" s="20" t="str">
        <f>IFERROR(_xlfn.XLOOKUP(E486,#REF!,#REF!), "")</f>
        <v/>
      </c>
      <c r="G486" s="22"/>
      <c r="J486" s="6"/>
      <c r="P486" s="19"/>
    </row>
    <row r="487" spans="5:16">
      <c r="E487" s="21"/>
      <c r="F487" s="20" t="str">
        <f>IFERROR(_xlfn.XLOOKUP(E487,#REF!,#REF!), "")</f>
        <v/>
      </c>
      <c r="G487" s="22"/>
      <c r="J487" s="6"/>
      <c r="P487" s="19"/>
    </row>
    <row r="488" spans="5:16">
      <c r="E488" s="21"/>
      <c r="F488" s="20" t="str">
        <f>IFERROR(_xlfn.XLOOKUP(E488,#REF!,#REF!), "")</f>
        <v/>
      </c>
      <c r="G488" s="22"/>
      <c r="J488" s="6"/>
      <c r="P488" s="19"/>
    </row>
    <row r="489" spans="5:16">
      <c r="E489" s="21"/>
      <c r="F489" s="20" t="str">
        <f>IFERROR(_xlfn.XLOOKUP(E489,#REF!,#REF!), "")</f>
        <v/>
      </c>
      <c r="G489" s="22"/>
      <c r="J489" s="6"/>
      <c r="P489" s="19"/>
    </row>
    <row r="490" spans="5:16">
      <c r="E490" s="21"/>
      <c r="F490" s="20" t="str">
        <f>IFERROR(_xlfn.XLOOKUP(E490,#REF!,#REF!), "")</f>
        <v/>
      </c>
      <c r="G490" s="22"/>
      <c r="J490" s="6"/>
      <c r="P490" s="19"/>
    </row>
    <row r="491" spans="5:16">
      <c r="E491" s="21"/>
      <c r="F491" s="20" t="str">
        <f>IFERROR(_xlfn.XLOOKUP(E491,#REF!,#REF!), "")</f>
        <v/>
      </c>
      <c r="G491" s="22"/>
      <c r="J491" s="6"/>
      <c r="P491" s="19"/>
    </row>
    <row r="492" spans="5:16">
      <c r="E492" s="21"/>
      <c r="F492" s="20" t="str">
        <f>IFERROR(_xlfn.XLOOKUP(E492,#REF!,#REF!), "")</f>
        <v/>
      </c>
      <c r="G492" s="22"/>
      <c r="J492" s="6"/>
      <c r="P492" s="19"/>
    </row>
    <row r="493" spans="5:16">
      <c r="E493" s="21"/>
      <c r="F493" s="20" t="str">
        <f>IFERROR(_xlfn.XLOOKUP(E493,#REF!,#REF!), "")</f>
        <v/>
      </c>
      <c r="G493" s="22"/>
      <c r="J493" s="6"/>
      <c r="P493" s="19"/>
    </row>
    <row r="494" spans="5:16">
      <c r="E494" s="21"/>
      <c r="F494" s="20" t="str">
        <f>IFERROR(_xlfn.XLOOKUP(E494,#REF!,#REF!), "")</f>
        <v/>
      </c>
      <c r="G494" s="22"/>
      <c r="J494" s="6"/>
      <c r="P494" s="19"/>
    </row>
    <row r="495" spans="5:16">
      <c r="E495" s="21"/>
      <c r="F495" s="20" t="str">
        <f>IFERROR(_xlfn.XLOOKUP(E495,#REF!,#REF!), "")</f>
        <v/>
      </c>
      <c r="G495" s="22"/>
      <c r="J495" s="6"/>
      <c r="P495" s="19"/>
    </row>
    <row r="496" spans="5:16">
      <c r="E496" s="21"/>
      <c r="F496" s="20" t="str">
        <f>IFERROR(_xlfn.XLOOKUP(E496,#REF!,#REF!), "")</f>
        <v/>
      </c>
      <c r="G496" s="22"/>
      <c r="J496" s="6"/>
      <c r="P496" s="19"/>
    </row>
    <row r="497" spans="5:16">
      <c r="E497" s="21"/>
      <c r="F497" s="20" t="str">
        <f>IFERROR(_xlfn.XLOOKUP(E497,#REF!,#REF!), "")</f>
        <v/>
      </c>
      <c r="G497" s="22"/>
      <c r="J497" s="6"/>
      <c r="P497" s="19"/>
    </row>
    <row r="498" spans="5:16">
      <c r="E498" s="21"/>
      <c r="F498" s="20" t="str">
        <f>IFERROR(_xlfn.XLOOKUP(E498,#REF!,#REF!), "")</f>
        <v/>
      </c>
      <c r="G498" s="22"/>
      <c r="J498" s="6"/>
      <c r="P498" s="19"/>
    </row>
    <row r="499" spans="5:16">
      <c r="E499" s="21"/>
      <c r="F499" s="20" t="str">
        <f>IFERROR(_xlfn.XLOOKUP(E499,#REF!,#REF!), "")</f>
        <v/>
      </c>
      <c r="G499" s="22"/>
      <c r="J499" s="6"/>
      <c r="P499" s="19"/>
    </row>
    <row r="500" spans="5:16">
      <c r="E500" s="21"/>
      <c r="F500" s="20" t="str">
        <f>IFERROR(_xlfn.XLOOKUP(E500,#REF!,#REF!), "")</f>
        <v/>
      </c>
      <c r="G500" s="22"/>
      <c r="J500" s="6"/>
      <c r="P500" s="19"/>
    </row>
    <row r="501" spans="5:16">
      <c r="E501" s="21"/>
      <c r="F501" s="20" t="str">
        <f>IFERROR(_xlfn.XLOOKUP(E501,#REF!,#REF!), "")</f>
        <v/>
      </c>
      <c r="G501" s="22"/>
      <c r="J501" s="6"/>
      <c r="P501" s="19"/>
    </row>
    <row r="502" spans="5:16">
      <c r="E502" s="21"/>
      <c r="F502" s="20" t="str">
        <f>IFERROR(_xlfn.XLOOKUP(E502,#REF!,#REF!), "")</f>
        <v/>
      </c>
      <c r="G502" s="22"/>
      <c r="J502" s="6"/>
      <c r="P502" s="19"/>
    </row>
    <row r="503" spans="5:16">
      <c r="E503" s="21"/>
      <c r="F503" s="20" t="str">
        <f>IFERROR(_xlfn.XLOOKUP(E503,#REF!,#REF!), "")</f>
        <v/>
      </c>
      <c r="G503" s="22"/>
      <c r="J503" s="6"/>
      <c r="P503" s="19"/>
    </row>
    <row r="504" spans="5:16">
      <c r="E504" s="21"/>
      <c r="F504" s="20" t="str">
        <f>IFERROR(_xlfn.XLOOKUP(E504,#REF!,#REF!), "")</f>
        <v/>
      </c>
      <c r="G504" s="22"/>
      <c r="J504" s="6"/>
      <c r="P504" s="19"/>
    </row>
    <row r="505" spans="5:16">
      <c r="E505" s="21"/>
      <c r="F505" s="20" t="str">
        <f>IFERROR(_xlfn.XLOOKUP(E505,#REF!,#REF!), "")</f>
        <v/>
      </c>
      <c r="G505" s="22"/>
      <c r="J505" s="6"/>
      <c r="P505" s="19"/>
    </row>
    <row r="506" spans="5:16">
      <c r="E506" s="21"/>
      <c r="F506" s="20" t="str">
        <f>IFERROR(_xlfn.XLOOKUP(E506,#REF!,#REF!), "")</f>
        <v/>
      </c>
      <c r="G506" s="22"/>
      <c r="J506" s="6"/>
      <c r="P506" s="19"/>
    </row>
    <row r="507" spans="5:16">
      <c r="E507" s="21"/>
      <c r="F507" s="20" t="str">
        <f>IFERROR(_xlfn.XLOOKUP(E507,#REF!,#REF!), "")</f>
        <v/>
      </c>
      <c r="G507" s="22"/>
      <c r="J507" s="6"/>
      <c r="P507" s="19"/>
    </row>
    <row r="508" spans="5:16">
      <c r="E508" s="21"/>
      <c r="F508" s="20" t="str">
        <f>IFERROR(_xlfn.XLOOKUP(E508,#REF!,#REF!), "")</f>
        <v/>
      </c>
      <c r="G508" s="22"/>
      <c r="J508" s="6"/>
      <c r="P508" s="19"/>
    </row>
    <row r="509" spans="5:16">
      <c r="E509" s="21"/>
      <c r="F509" s="20" t="str">
        <f>IFERROR(_xlfn.XLOOKUP(E509,#REF!,#REF!), "")</f>
        <v/>
      </c>
      <c r="G509" s="22"/>
      <c r="J509" s="6"/>
      <c r="P509" s="19"/>
    </row>
    <row r="510" spans="5:16">
      <c r="E510" s="21"/>
      <c r="F510" s="20" t="str">
        <f>IFERROR(_xlfn.XLOOKUP(E510,#REF!,#REF!), "")</f>
        <v/>
      </c>
      <c r="G510" s="22"/>
      <c r="J510" s="6"/>
      <c r="P510" s="19"/>
    </row>
    <row r="511" spans="5:16">
      <c r="E511" s="21"/>
      <c r="F511" s="20" t="str">
        <f>IFERROR(_xlfn.XLOOKUP(E511,#REF!,#REF!), "")</f>
        <v/>
      </c>
      <c r="G511" s="22"/>
      <c r="J511" s="6"/>
      <c r="P511" s="19"/>
    </row>
    <row r="512" spans="5:16">
      <c r="E512" s="21"/>
      <c r="F512" s="20" t="str">
        <f>IFERROR(_xlfn.XLOOKUP(E512,#REF!,#REF!), "")</f>
        <v/>
      </c>
      <c r="G512" s="22"/>
      <c r="J512" s="6"/>
      <c r="P512" s="19"/>
    </row>
    <row r="513" spans="5:16">
      <c r="E513" s="21"/>
      <c r="F513" s="20" t="str">
        <f>IFERROR(_xlfn.XLOOKUP(E513,#REF!,#REF!), "")</f>
        <v/>
      </c>
      <c r="G513" s="22"/>
      <c r="J513" s="6"/>
      <c r="P513" s="19"/>
    </row>
    <row r="514" spans="5:16">
      <c r="E514" s="21"/>
      <c r="F514" s="20" t="str">
        <f>IFERROR(_xlfn.XLOOKUP(E514,#REF!,#REF!), "")</f>
        <v/>
      </c>
      <c r="G514" s="22"/>
      <c r="J514" s="6"/>
      <c r="P514" s="19"/>
    </row>
    <row r="515" spans="5:16">
      <c r="E515" s="21"/>
      <c r="F515" s="20" t="str">
        <f>IFERROR(_xlfn.XLOOKUP(E515,#REF!,#REF!), "")</f>
        <v/>
      </c>
      <c r="G515" s="22"/>
      <c r="J515" s="6"/>
      <c r="P515" s="19"/>
    </row>
    <row r="516" spans="5:16">
      <c r="E516" s="21"/>
      <c r="F516" s="20" t="str">
        <f>IFERROR(_xlfn.XLOOKUP(E516,#REF!,#REF!), "")</f>
        <v/>
      </c>
      <c r="G516" s="22"/>
      <c r="J516" s="6"/>
      <c r="P516" s="19"/>
    </row>
    <row r="517" spans="5:16">
      <c r="E517" s="21"/>
      <c r="F517" s="20" t="str">
        <f>IFERROR(_xlfn.XLOOKUP(E517,#REF!,#REF!), "")</f>
        <v/>
      </c>
      <c r="G517" s="22"/>
      <c r="J517" s="6"/>
      <c r="P517" s="19"/>
    </row>
    <row r="518" spans="5:16">
      <c r="E518" s="21"/>
      <c r="F518" s="20" t="str">
        <f>IFERROR(_xlfn.XLOOKUP(E518,#REF!,#REF!), "")</f>
        <v/>
      </c>
      <c r="G518" s="22"/>
      <c r="J518" s="6"/>
      <c r="P518" s="19"/>
    </row>
    <row r="519" spans="5:16">
      <c r="E519" s="21"/>
      <c r="F519" s="20" t="str">
        <f>IFERROR(_xlfn.XLOOKUP(E519,#REF!,#REF!), "")</f>
        <v/>
      </c>
      <c r="G519" s="22"/>
      <c r="J519" s="6"/>
      <c r="P519" s="19"/>
    </row>
    <row r="520" spans="5:16">
      <c r="E520" s="21"/>
      <c r="F520" s="20" t="str">
        <f>IFERROR(_xlfn.XLOOKUP(E520,#REF!,#REF!), "")</f>
        <v/>
      </c>
      <c r="G520" s="22"/>
      <c r="J520" s="6"/>
      <c r="P520" s="19"/>
    </row>
    <row r="521" spans="5:16">
      <c r="E521" s="21"/>
      <c r="F521" s="20" t="str">
        <f>IFERROR(_xlfn.XLOOKUP(E521,#REF!,#REF!), "")</f>
        <v/>
      </c>
      <c r="G521" s="22"/>
      <c r="J521" s="6"/>
      <c r="P521" s="19"/>
    </row>
    <row r="522" spans="5:16">
      <c r="E522" s="21"/>
      <c r="F522" s="20" t="str">
        <f>IFERROR(_xlfn.XLOOKUP(E522,#REF!,#REF!), "")</f>
        <v/>
      </c>
      <c r="G522" s="22"/>
      <c r="J522" s="6"/>
      <c r="P522" s="19"/>
    </row>
    <row r="523" spans="5:16">
      <c r="E523" s="21"/>
      <c r="F523" s="20" t="str">
        <f>IFERROR(_xlfn.XLOOKUP(E523,#REF!,#REF!), "")</f>
        <v/>
      </c>
      <c r="G523" s="22"/>
      <c r="J523" s="6"/>
      <c r="P523" s="19"/>
    </row>
    <row r="524" spans="5:16">
      <c r="E524" s="21"/>
      <c r="F524" s="20" t="str">
        <f>IFERROR(_xlfn.XLOOKUP(E524,#REF!,#REF!), "")</f>
        <v/>
      </c>
      <c r="G524" s="22"/>
      <c r="J524" s="6"/>
      <c r="P524" s="19"/>
    </row>
    <row r="525" spans="5:16">
      <c r="E525" s="21"/>
      <c r="F525" s="20" t="str">
        <f>IFERROR(_xlfn.XLOOKUP(E525,#REF!,#REF!), "")</f>
        <v/>
      </c>
      <c r="G525" s="22"/>
      <c r="J525" s="6"/>
      <c r="P525" s="19"/>
    </row>
    <row r="526" spans="5:16">
      <c r="E526" s="21"/>
      <c r="F526" s="20" t="str">
        <f>IFERROR(_xlfn.XLOOKUP(E526,#REF!,#REF!), "")</f>
        <v/>
      </c>
      <c r="G526" s="22"/>
      <c r="J526" s="6"/>
      <c r="P526" s="19"/>
    </row>
    <row r="527" spans="5:16">
      <c r="E527" s="21"/>
      <c r="F527" s="20" t="str">
        <f>IFERROR(_xlfn.XLOOKUP(E527,#REF!,#REF!), "")</f>
        <v/>
      </c>
      <c r="G527" s="22"/>
      <c r="J527" s="6"/>
      <c r="P527" s="19"/>
    </row>
    <row r="528" spans="5:16">
      <c r="E528" s="21"/>
      <c r="F528" s="20" t="str">
        <f>IFERROR(_xlfn.XLOOKUP(E528,#REF!,#REF!), "")</f>
        <v/>
      </c>
      <c r="G528" s="22"/>
      <c r="J528" s="6"/>
      <c r="P528" s="19"/>
    </row>
    <row r="529" spans="5:16">
      <c r="E529" s="21"/>
      <c r="F529" s="20" t="str">
        <f>IFERROR(_xlfn.XLOOKUP(E529,#REF!,#REF!), "")</f>
        <v/>
      </c>
      <c r="G529" s="22"/>
      <c r="J529" s="6"/>
      <c r="P529" s="19"/>
    </row>
    <row r="530" spans="5:16">
      <c r="E530" s="21"/>
      <c r="F530" s="20" t="str">
        <f>IFERROR(_xlfn.XLOOKUP(E530,#REF!,#REF!), "")</f>
        <v/>
      </c>
      <c r="G530" s="22"/>
      <c r="J530" s="6"/>
      <c r="P530" s="19"/>
    </row>
    <row r="531" spans="5:16">
      <c r="E531" s="21"/>
      <c r="F531" s="20" t="str">
        <f>IFERROR(_xlfn.XLOOKUP(E531,#REF!,#REF!), "")</f>
        <v/>
      </c>
      <c r="G531" s="22"/>
      <c r="J531" s="6"/>
      <c r="P531" s="19"/>
    </row>
    <row r="532" spans="5:16">
      <c r="E532" s="21"/>
      <c r="F532" s="20" t="str">
        <f>IFERROR(_xlfn.XLOOKUP(E532,#REF!,#REF!), "")</f>
        <v/>
      </c>
      <c r="G532" s="22"/>
      <c r="J532" s="6"/>
      <c r="P532" s="19"/>
    </row>
    <row r="533" spans="5:16">
      <c r="E533" s="21"/>
      <c r="F533" s="20" t="str">
        <f>IFERROR(_xlfn.XLOOKUP(E533,#REF!,#REF!), "")</f>
        <v/>
      </c>
      <c r="G533" s="22"/>
      <c r="J533" s="6"/>
      <c r="P533" s="19"/>
    </row>
    <row r="534" spans="5:16">
      <c r="E534" s="21"/>
      <c r="F534" s="20" t="str">
        <f>IFERROR(_xlfn.XLOOKUP(E534,#REF!,#REF!), "")</f>
        <v/>
      </c>
      <c r="G534" s="22"/>
      <c r="J534" s="6"/>
      <c r="P534" s="19"/>
    </row>
    <row r="535" spans="5:16">
      <c r="E535" s="21"/>
      <c r="F535" s="20" t="str">
        <f>IFERROR(_xlfn.XLOOKUP(E535,#REF!,#REF!), "")</f>
        <v/>
      </c>
      <c r="G535" s="22"/>
      <c r="J535" s="6"/>
      <c r="P535" s="19"/>
    </row>
    <row r="536" spans="5:16">
      <c r="E536" s="21"/>
      <c r="F536" s="20" t="str">
        <f>IFERROR(_xlfn.XLOOKUP(E536,#REF!,#REF!), "")</f>
        <v/>
      </c>
      <c r="G536" s="22"/>
      <c r="J536" s="6"/>
      <c r="P536" s="19"/>
    </row>
    <row r="537" spans="5:16">
      <c r="E537" s="21"/>
      <c r="F537" s="20" t="str">
        <f>IFERROR(_xlfn.XLOOKUP(E537,#REF!,#REF!), "")</f>
        <v/>
      </c>
      <c r="G537" s="22"/>
      <c r="J537" s="6"/>
      <c r="P537" s="19"/>
    </row>
    <row r="538" spans="5:16">
      <c r="E538" s="21"/>
      <c r="F538" s="20" t="str">
        <f>IFERROR(_xlfn.XLOOKUP(E538,#REF!,#REF!), "")</f>
        <v/>
      </c>
      <c r="G538" s="22"/>
      <c r="J538" s="6"/>
      <c r="P538" s="19"/>
    </row>
    <row r="539" spans="5:16">
      <c r="E539" s="21"/>
      <c r="F539" s="20" t="str">
        <f>IFERROR(_xlfn.XLOOKUP(E539,#REF!,#REF!), "")</f>
        <v/>
      </c>
      <c r="G539" s="22"/>
      <c r="J539" s="6"/>
      <c r="P539" s="19"/>
    </row>
    <row r="540" spans="5:16">
      <c r="E540" s="21"/>
      <c r="F540" s="20" t="str">
        <f>IFERROR(_xlfn.XLOOKUP(E540,#REF!,#REF!), "")</f>
        <v/>
      </c>
      <c r="G540" s="22"/>
      <c r="J540" s="6"/>
      <c r="P540" s="19"/>
    </row>
    <row r="541" spans="5:16">
      <c r="E541" s="21"/>
      <c r="F541" s="20" t="str">
        <f>IFERROR(_xlfn.XLOOKUP(E541,#REF!,#REF!), "")</f>
        <v/>
      </c>
      <c r="G541" s="22"/>
      <c r="J541" s="6"/>
      <c r="P541" s="19"/>
    </row>
    <row r="542" spans="5:16">
      <c r="E542" s="21"/>
      <c r="F542" s="20" t="str">
        <f>IFERROR(_xlfn.XLOOKUP(E542,#REF!,#REF!), "")</f>
        <v/>
      </c>
      <c r="G542" s="22"/>
      <c r="J542" s="6"/>
      <c r="P542" s="19"/>
    </row>
    <row r="543" spans="5:16">
      <c r="E543" s="21"/>
      <c r="F543" s="20" t="str">
        <f>IFERROR(_xlfn.XLOOKUP(E543,#REF!,#REF!), "")</f>
        <v/>
      </c>
      <c r="G543" s="22"/>
      <c r="J543" s="6"/>
      <c r="P543" s="19"/>
    </row>
    <row r="544" spans="5:16">
      <c r="E544" s="21"/>
      <c r="F544" s="20" t="str">
        <f>IFERROR(_xlfn.XLOOKUP(E544,#REF!,#REF!), "")</f>
        <v/>
      </c>
      <c r="G544" s="22"/>
      <c r="J544" s="6"/>
      <c r="P544" s="19"/>
    </row>
    <row r="545" spans="5:16">
      <c r="E545" s="21"/>
      <c r="F545" s="20" t="str">
        <f>IFERROR(_xlfn.XLOOKUP(E545,#REF!,#REF!), "")</f>
        <v/>
      </c>
      <c r="G545" s="22"/>
      <c r="J545" s="6"/>
      <c r="P545" s="19"/>
    </row>
    <row r="546" spans="5:16">
      <c r="E546" s="21"/>
      <c r="F546" s="20" t="str">
        <f>IFERROR(_xlfn.XLOOKUP(E546,#REF!,#REF!), "")</f>
        <v/>
      </c>
      <c r="G546" s="22"/>
      <c r="J546" s="6"/>
      <c r="P546" s="19"/>
    </row>
    <row r="547" spans="5:16">
      <c r="E547" s="21"/>
      <c r="F547" s="20" t="str">
        <f>IFERROR(_xlfn.XLOOKUP(E547,#REF!,#REF!), "")</f>
        <v/>
      </c>
      <c r="G547" s="22"/>
      <c r="J547" s="6"/>
      <c r="P547" s="19"/>
    </row>
    <row r="548" spans="5:16">
      <c r="E548" s="21"/>
      <c r="F548" s="20" t="str">
        <f>IFERROR(_xlfn.XLOOKUP(E548,#REF!,#REF!), "")</f>
        <v/>
      </c>
      <c r="G548" s="22"/>
      <c r="J548" s="6"/>
      <c r="P548" s="19"/>
    </row>
    <row r="549" spans="5:16">
      <c r="E549" s="21"/>
      <c r="F549" s="20" t="str">
        <f>IFERROR(_xlfn.XLOOKUP(E549,#REF!,#REF!), "")</f>
        <v/>
      </c>
      <c r="G549" s="22"/>
      <c r="J549" s="6"/>
      <c r="P549" s="19"/>
    </row>
    <row r="550" spans="5:16">
      <c r="E550" s="21"/>
      <c r="F550" s="20" t="str">
        <f>IFERROR(_xlfn.XLOOKUP(E550,#REF!,#REF!), "")</f>
        <v/>
      </c>
      <c r="G550" s="22"/>
      <c r="J550" s="6"/>
      <c r="P550" s="19"/>
    </row>
    <row r="551" spans="5:16">
      <c r="E551" s="21"/>
      <c r="F551" s="20" t="str">
        <f>IFERROR(_xlfn.XLOOKUP(E551,#REF!,#REF!), "")</f>
        <v/>
      </c>
      <c r="G551" s="22"/>
      <c r="J551" s="6"/>
      <c r="P551" s="19"/>
    </row>
    <row r="552" spans="5:16">
      <c r="E552" s="21"/>
      <c r="F552" s="20" t="str">
        <f>IFERROR(_xlfn.XLOOKUP(E552,#REF!,#REF!), "")</f>
        <v/>
      </c>
      <c r="G552" s="22"/>
      <c r="J552" s="6"/>
      <c r="P552" s="19"/>
    </row>
    <row r="553" spans="5:16">
      <c r="E553" s="21"/>
      <c r="F553" s="20" t="str">
        <f>IFERROR(_xlfn.XLOOKUP(E553,#REF!,#REF!), "")</f>
        <v/>
      </c>
      <c r="G553" s="22"/>
      <c r="J553" s="6"/>
      <c r="P553" s="19"/>
    </row>
    <row r="554" spans="5:16">
      <c r="E554" s="21"/>
      <c r="F554" s="20" t="str">
        <f>IFERROR(_xlfn.XLOOKUP(E554,#REF!,#REF!), "")</f>
        <v/>
      </c>
      <c r="G554" s="22"/>
      <c r="J554" s="6"/>
      <c r="P554" s="19"/>
    </row>
    <row r="555" spans="5:16">
      <c r="E555" s="21"/>
      <c r="F555" s="20" t="str">
        <f>IFERROR(_xlfn.XLOOKUP(E555,#REF!,#REF!), "")</f>
        <v/>
      </c>
      <c r="G555" s="22"/>
      <c r="J555" s="6"/>
      <c r="P555" s="19"/>
    </row>
    <row r="556" spans="5:16">
      <c r="E556" s="21"/>
      <c r="F556" s="20" t="str">
        <f>IFERROR(_xlfn.XLOOKUP(E556,#REF!,#REF!), "")</f>
        <v/>
      </c>
      <c r="G556" s="22"/>
      <c r="J556" s="6"/>
      <c r="P556" s="19"/>
    </row>
    <row r="557" spans="5:16">
      <c r="E557" s="21"/>
      <c r="F557" s="20" t="str">
        <f>IFERROR(_xlfn.XLOOKUP(E557,#REF!,#REF!), "")</f>
        <v/>
      </c>
      <c r="G557" s="22"/>
      <c r="J557" s="6"/>
      <c r="P557" s="19"/>
    </row>
    <row r="558" spans="5:16">
      <c r="E558" s="21"/>
      <c r="F558" s="20" t="str">
        <f>IFERROR(_xlfn.XLOOKUP(E558,#REF!,#REF!), "")</f>
        <v/>
      </c>
      <c r="G558" s="22"/>
      <c r="J558" s="6"/>
      <c r="P558" s="19"/>
    </row>
    <row r="559" spans="5:16">
      <c r="E559" s="21"/>
      <c r="F559" s="20" t="str">
        <f>IFERROR(_xlfn.XLOOKUP(E559,#REF!,#REF!), "")</f>
        <v/>
      </c>
      <c r="G559" s="22"/>
      <c r="J559" s="6"/>
      <c r="P559" s="19"/>
    </row>
    <row r="560" spans="5:16">
      <c r="E560" s="21"/>
      <c r="F560" s="20" t="str">
        <f>IFERROR(_xlfn.XLOOKUP(E560,#REF!,#REF!), "")</f>
        <v/>
      </c>
      <c r="G560" s="22"/>
      <c r="J560" s="6"/>
      <c r="P560" s="19"/>
    </row>
    <row r="561" spans="5:16">
      <c r="E561" s="21"/>
      <c r="F561" s="20" t="str">
        <f>IFERROR(_xlfn.XLOOKUP(E561,#REF!,#REF!), "")</f>
        <v/>
      </c>
      <c r="G561" s="22"/>
      <c r="J561" s="6"/>
      <c r="P561" s="19"/>
    </row>
    <row r="562" spans="5:16">
      <c r="E562" s="21"/>
      <c r="F562" s="20" t="str">
        <f>IFERROR(_xlfn.XLOOKUP(E562,#REF!,#REF!), "")</f>
        <v/>
      </c>
      <c r="G562" s="22"/>
      <c r="J562" s="6"/>
      <c r="P562" s="19"/>
    </row>
    <row r="563" spans="5:16">
      <c r="E563" s="21"/>
      <c r="F563" s="20" t="str">
        <f>IFERROR(_xlfn.XLOOKUP(E563,#REF!,#REF!), "")</f>
        <v/>
      </c>
      <c r="G563" s="22"/>
      <c r="J563" s="6"/>
      <c r="P563" s="19"/>
    </row>
    <row r="564" spans="5:16">
      <c r="E564" s="21"/>
      <c r="F564" s="20" t="str">
        <f>IFERROR(_xlfn.XLOOKUP(E564,#REF!,#REF!), "")</f>
        <v/>
      </c>
      <c r="G564" s="22"/>
      <c r="J564" s="6"/>
      <c r="P564" s="19"/>
    </row>
    <row r="565" spans="5:16">
      <c r="E565" s="21"/>
      <c r="F565" s="20" t="str">
        <f>IFERROR(_xlfn.XLOOKUP(E565,#REF!,#REF!), "")</f>
        <v/>
      </c>
      <c r="G565" s="22"/>
      <c r="J565" s="6"/>
      <c r="P565" s="19"/>
    </row>
    <row r="566" spans="5:16">
      <c r="E566" s="21"/>
      <c r="F566" s="20" t="str">
        <f>IFERROR(_xlfn.XLOOKUP(E566,#REF!,#REF!), "")</f>
        <v/>
      </c>
      <c r="G566" s="22"/>
      <c r="J566" s="6"/>
      <c r="P566" s="19"/>
    </row>
    <row r="567" spans="5:16">
      <c r="E567" s="21"/>
      <c r="F567" s="20" t="str">
        <f>IFERROR(_xlfn.XLOOKUP(E567,#REF!,#REF!), "")</f>
        <v/>
      </c>
      <c r="G567" s="22"/>
      <c r="J567" s="6"/>
      <c r="P567" s="19"/>
    </row>
    <row r="568" spans="5:16">
      <c r="E568" s="21"/>
      <c r="F568" s="20" t="str">
        <f>IFERROR(_xlfn.XLOOKUP(E568,#REF!,#REF!), "")</f>
        <v/>
      </c>
      <c r="G568" s="22"/>
      <c r="J568" s="6"/>
      <c r="P568" s="19"/>
    </row>
    <row r="569" spans="5:16">
      <c r="E569" s="21"/>
      <c r="F569" s="20" t="str">
        <f>IFERROR(_xlfn.XLOOKUP(E569,#REF!,#REF!), "")</f>
        <v/>
      </c>
      <c r="G569" s="22"/>
      <c r="J569" s="6"/>
      <c r="P569" s="19"/>
    </row>
    <row r="570" spans="5:16">
      <c r="E570" s="21"/>
      <c r="F570" s="20" t="str">
        <f>IFERROR(_xlfn.XLOOKUP(E570,#REF!,#REF!), "")</f>
        <v/>
      </c>
      <c r="G570" s="22"/>
      <c r="J570" s="6"/>
      <c r="P570" s="19"/>
    </row>
    <row r="571" spans="5:16">
      <c r="E571" s="21"/>
      <c r="F571" s="20" t="str">
        <f>IFERROR(_xlfn.XLOOKUP(E571,#REF!,#REF!), "")</f>
        <v/>
      </c>
      <c r="G571" s="22"/>
      <c r="J571" s="6"/>
      <c r="P571" s="19"/>
    </row>
    <row r="572" spans="5:16">
      <c r="E572" s="21"/>
      <c r="F572" s="20" t="str">
        <f>IFERROR(_xlfn.XLOOKUP(E572,#REF!,#REF!), "")</f>
        <v/>
      </c>
      <c r="G572" s="22"/>
      <c r="J572" s="6"/>
      <c r="P572" s="19"/>
    </row>
    <row r="573" spans="5:16">
      <c r="E573" s="21"/>
      <c r="F573" s="20" t="str">
        <f>IFERROR(_xlfn.XLOOKUP(E573,#REF!,#REF!), "")</f>
        <v/>
      </c>
      <c r="G573" s="22"/>
      <c r="J573" s="6"/>
      <c r="P573" s="19"/>
    </row>
    <row r="574" spans="5:16">
      <c r="E574" s="21"/>
      <c r="F574" s="20" t="str">
        <f>IFERROR(_xlfn.XLOOKUP(E574,#REF!,#REF!), "")</f>
        <v/>
      </c>
      <c r="G574" s="22"/>
      <c r="J574" s="6"/>
      <c r="P574" s="19"/>
    </row>
    <row r="575" spans="5:16">
      <c r="E575" s="21"/>
      <c r="F575" s="20" t="str">
        <f>IFERROR(_xlfn.XLOOKUP(E575,#REF!,#REF!), "")</f>
        <v/>
      </c>
      <c r="G575" s="22"/>
      <c r="J575" s="6"/>
      <c r="P575" s="19"/>
    </row>
    <row r="576" spans="5:16">
      <c r="E576" s="21"/>
      <c r="F576" s="20" t="str">
        <f>IFERROR(_xlfn.XLOOKUP(E576,#REF!,#REF!), "")</f>
        <v/>
      </c>
      <c r="G576" s="22"/>
      <c r="J576" s="6"/>
      <c r="P576" s="19"/>
    </row>
    <row r="577" spans="5:16">
      <c r="E577" s="21"/>
      <c r="F577" s="20" t="str">
        <f>IFERROR(_xlfn.XLOOKUP(E577,#REF!,#REF!), "")</f>
        <v/>
      </c>
      <c r="G577" s="22"/>
      <c r="J577" s="6"/>
      <c r="P577" s="19"/>
    </row>
    <row r="578" spans="5:16">
      <c r="E578" s="21"/>
      <c r="F578" s="20" t="str">
        <f>IFERROR(_xlfn.XLOOKUP(E578,#REF!,#REF!), "")</f>
        <v/>
      </c>
      <c r="G578" s="22"/>
      <c r="J578" s="6"/>
      <c r="P578" s="19"/>
    </row>
    <row r="579" spans="5:16">
      <c r="E579" s="21"/>
      <c r="F579" s="20" t="str">
        <f>IFERROR(_xlfn.XLOOKUP(E579,#REF!,#REF!), "")</f>
        <v/>
      </c>
      <c r="G579" s="22"/>
      <c r="J579" s="6"/>
      <c r="P579" s="19"/>
    </row>
    <row r="580" spans="5:16">
      <c r="E580" s="21"/>
      <c r="F580" s="20" t="str">
        <f>IFERROR(_xlfn.XLOOKUP(E580,#REF!,#REF!), "")</f>
        <v/>
      </c>
      <c r="G580" s="22"/>
      <c r="J580" s="6"/>
      <c r="P580" s="19"/>
    </row>
    <row r="581" spans="5:16">
      <c r="E581" s="21"/>
      <c r="F581" s="20" t="str">
        <f>IFERROR(_xlfn.XLOOKUP(E581,#REF!,#REF!), "")</f>
        <v/>
      </c>
      <c r="G581" s="22"/>
      <c r="J581" s="6"/>
      <c r="P581" s="19"/>
    </row>
    <row r="582" spans="5:16">
      <c r="E582" s="21"/>
      <c r="F582" s="20" t="str">
        <f>IFERROR(_xlfn.XLOOKUP(E582,#REF!,#REF!), "")</f>
        <v/>
      </c>
      <c r="G582" s="22"/>
      <c r="J582" s="6"/>
      <c r="P582" s="19"/>
    </row>
    <row r="583" spans="5:16">
      <c r="E583" s="21"/>
      <c r="F583" s="20" t="str">
        <f>IFERROR(_xlfn.XLOOKUP(E583,#REF!,#REF!), "")</f>
        <v/>
      </c>
      <c r="G583" s="22"/>
      <c r="J583" s="6"/>
      <c r="P583" s="19"/>
    </row>
    <row r="584" spans="5:16">
      <c r="E584" s="21"/>
      <c r="F584" s="20" t="str">
        <f>IFERROR(_xlfn.XLOOKUP(E584,#REF!,#REF!), "")</f>
        <v/>
      </c>
      <c r="G584" s="22"/>
      <c r="J584" s="6"/>
      <c r="P584" s="19"/>
    </row>
    <row r="585" spans="5:16">
      <c r="E585" s="21"/>
      <c r="F585" s="20" t="str">
        <f>IFERROR(_xlfn.XLOOKUP(E585,#REF!,#REF!), "")</f>
        <v/>
      </c>
      <c r="G585" s="22"/>
      <c r="J585" s="6"/>
      <c r="P585" s="19"/>
    </row>
    <row r="586" spans="5:16">
      <c r="E586" s="21"/>
      <c r="F586" s="20" t="str">
        <f>IFERROR(_xlfn.XLOOKUP(E586,#REF!,#REF!), "")</f>
        <v/>
      </c>
      <c r="G586" s="22"/>
      <c r="J586" s="6"/>
      <c r="P586" s="19"/>
    </row>
    <row r="587" spans="5:16">
      <c r="E587" s="21"/>
      <c r="F587" s="20" t="str">
        <f>IFERROR(_xlfn.XLOOKUP(E587,#REF!,#REF!), "")</f>
        <v/>
      </c>
      <c r="G587" s="22"/>
      <c r="J587" s="6"/>
      <c r="P587" s="19"/>
    </row>
    <row r="588" spans="5:16">
      <c r="E588" s="21"/>
      <c r="F588" s="20" t="str">
        <f>IFERROR(_xlfn.XLOOKUP(E588,#REF!,#REF!), "")</f>
        <v/>
      </c>
      <c r="G588" s="22"/>
      <c r="J588" s="6"/>
      <c r="P588" s="19"/>
    </row>
    <row r="589" spans="5:16">
      <c r="E589" s="21"/>
      <c r="F589" s="20" t="str">
        <f>IFERROR(_xlfn.XLOOKUP(E589,#REF!,#REF!), "")</f>
        <v/>
      </c>
      <c r="G589" s="22"/>
      <c r="J589" s="6"/>
      <c r="P589" s="19"/>
    </row>
    <row r="590" spans="5:16">
      <c r="E590" s="21"/>
      <c r="F590" s="20" t="str">
        <f>IFERROR(_xlfn.XLOOKUP(E590,#REF!,#REF!), "")</f>
        <v/>
      </c>
      <c r="G590" s="22"/>
      <c r="J590" s="6"/>
      <c r="P590" s="19"/>
    </row>
    <row r="591" spans="5:16">
      <c r="E591" s="21"/>
      <c r="F591" s="20" t="str">
        <f>IFERROR(_xlfn.XLOOKUP(E591,#REF!,#REF!), "")</f>
        <v/>
      </c>
      <c r="G591" s="22"/>
      <c r="J591" s="6"/>
      <c r="P591" s="19"/>
    </row>
    <row r="592" spans="5:16">
      <c r="E592" s="21"/>
      <c r="F592" s="20" t="str">
        <f>IFERROR(_xlfn.XLOOKUP(E592,#REF!,#REF!), "")</f>
        <v/>
      </c>
      <c r="G592" s="22"/>
      <c r="J592" s="6"/>
      <c r="P592" s="19"/>
    </row>
    <row r="593" spans="5:16">
      <c r="E593" s="21"/>
      <c r="F593" s="20" t="str">
        <f>IFERROR(_xlfn.XLOOKUP(E593,#REF!,#REF!), "")</f>
        <v/>
      </c>
      <c r="G593" s="22"/>
      <c r="J593" s="6"/>
      <c r="P593" s="19"/>
    </row>
    <row r="594" spans="5:16">
      <c r="E594" s="21"/>
      <c r="F594" s="20" t="str">
        <f>IFERROR(_xlfn.XLOOKUP(E594,#REF!,#REF!), "")</f>
        <v/>
      </c>
      <c r="G594" s="22"/>
      <c r="J594" s="6"/>
      <c r="P594" s="19"/>
    </row>
    <row r="595" spans="5:16">
      <c r="E595" s="21"/>
      <c r="F595" s="20" t="str">
        <f>IFERROR(_xlfn.XLOOKUP(E595,#REF!,#REF!), "")</f>
        <v/>
      </c>
      <c r="G595" s="22"/>
      <c r="J595" s="6"/>
      <c r="P595" s="19"/>
    </row>
    <row r="596" spans="5:16">
      <c r="E596" s="21"/>
      <c r="F596" s="20" t="str">
        <f>IFERROR(_xlfn.XLOOKUP(E596,#REF!,#REF!), "")</f>
        <v/>
      </c>
      <c r="G596" s="22"/>
      <c r="J596" s="6"/>
      <c r="P596" s="19"/>
    </row>
    <row r="597" spans="5:16">
      <c r="E597" s="21"/>
      <c r="F597" s="20" t="str">
        <f>IFERROR(_xlfn.XLOOKUP(E597,#REF!,#REF!), "")</f>
        <v/>
      </c>
      <c r="G597" s="22"/>
      <c r="J597" s="6"/>
      <c r="P597" s="19"/>
    </row>
    <row r="598" spans="5:16">
      <c r="E598" s="21"/>
      <c r="F598" s="20" t="str">
        <f>IFERROR(_xlfn.XLOOKUP(E598,#REF!,#REF!), "")</f>
        <v/>
      </c>
      <c r="G598" s="22"/>
      <c r="J598" s="6"/>
      <c r="P598" s="19"/>
    </row>
    <row r="599" spans="5:16">
      <c r="E599" s="21"/>
      <c r="F599" s="20" t="str">
        <f>IFERROR(_xlfn.XLOOKUP(E599,#REF!,#REF!), "")</f>
        <v/>
      </c>
      <c r="G599" s="22"/>
      <c r="J599" s="6"/>
      <c r="P599" s="19"/>
    </row>
    <row r="600" spans="5:16">
      <c r="E600" s="21"/>
      <c r="F600" s="20" t="str">
        <f>IFERROR(_xlfn.XLOOKUP(E600,#REF!,#REF!), "")</f>
        <v/>
      </c>
      <c r="G600" s="22"/>
      <c r="J600" s="6"/>
      <c r="P600" s="19"/>
    </row>
    <row r="601" spans="5:16">
      <c r="E601" s="21"/>
      <c r="F601" s="20" t="str">
        <f>IFERROR(_xlfn.XLOOKUP(E601,#REF!,#REF!), "")</f>
        <v/>
      </c>
      <c r="G601" s="22"/>
      <c r="J601" s="6"/>
      <c r="P601" s="19"/>
    </row>
    <row r="602" spans="5:16">
      <c r="E602" s="21"/>
      <c r="F602" s="20" t="str">
        <f>IFERROR(_xlfn.XLOOKUP(E602,#REF!,#REF!), "")</f>
        <v/>
      </c>
      <c r="G602" s="22"/>
      <c r="J602" s="6"/>
      <c r="P602" s="19"/>
    </row>
    <row r="603" spans="5:16">
      <c r="E603" s="21"/>
      <c r="F603" s="20" t="str">
        <f>IFERROR(_xlfn.XLOOKUP(E603,#REF!,#REF!), "")</f>
        <v/>
      </c>
      <c r="G603" s="22"/>
      <c r="J603" s="6"/>
      <c r="P603" s="19"/>
    </row>
    <row r="604" spans="5:16">
      <c r="E604" s="21"/>
      <c r="F604" s="20" t="str">
        <f>IFERROR(_xlfn.XLOOKUP(E604,#REF!,#REF!), "")</f>
        <v/>
      </c>
      <c r="G604" s="22"/>
      <c r="J604" s="6"/>
      <c r="P604" s="19"/>
    </row>
    <row r="605" spans="5:16">
      <c r="E605" s="21"/>
      <c r="F605" s="20" t="str">
        <f>IFERROR(_xlfn.XLOOKUP(E605,#REF!,#REF!), "")</f>
        <v/>
      </c>
      <c r="G605" s="22"/>
      <c r="J605" s="6"/>
      <c r="P605" s="19"/>
    </row>
    <row r="606" spans="5:16">
      <c r="E606" s="21"/>
      <c r="F606" s="20" t="str">
        <f>IFERROR(_xlfn.XLOOKUP(E606,#REF!,#REF!), "")</f>
        <v/>
      </c>
      <c r="G606" s="22"/>
      <c r="J606" s="6"/>
      <c r="P606" s="19"/>
    </row>
    <row r="607" spans="5:16">
      <c r="E607" s="21"/>
      <c r="F607" s="20" t="str">
        <f>IFERROR(_xlfn.XLOOKUP(E607,#REF!,#REF!), "")</f>
        <v/>
      </c>
      <c r="G607" s="22"/>
      <c r="J607" s="6"/>
      <c r="P607" s="19"/>
    </row>
    <row r="608" spans="5:16">
      <c r="E608" s="21"/>
      <c r="F608" s="20" t="str">
        <f>IFERROR(_xlfn.XLOOKUP(E608,#REF!,#REF!), "")</f>
        <v/>
      </c>
      <c r="G608" s="22"/>
      <c r="J608" s="6"/>
      <c r="P608" s="19"/>
    </row>
    <row r="609" spans="5:16">
      <c r="E609" s="21"/>
      <c r="F609" s="20" t="str">
        <f>IFERROR(_xlfn.XLOOKUP(E609,#REF!,#REF!), "")</f>
        <v/>
      </c>
      <c r="G609" s="22"/>
      <c r="J609" s="6"/>
      <c r="P609" s="19"/>
    </row>
    <row r="610" spans="5:16">
      <c r="E610" s="21"/>
      <c r="F610" s="20" t="str">
        <f>IFERROR(_xlfn.XLOOKUP(E610,#REF!,#REF!), "")</f>
        <v/>
      </c>
      <c r="G610" s="22"/>
      <c r="J610" s="6"/>
      <c r="P610" s="19"/>
    </row>
    <row r="611" spans="5:16">
      <c r="E611" s="21"/>
      <c r="F611" s="20" t="str">
        <f>IFERROR(_xlfn.XLOOKUP(E611,#REF!,#REF!), "")</f>
        <v/>
      </c>
      <c r="G611" s="22"/>
      <c r="J611" s="6"/>
      <c r="P611" s="19"/>
    </row>
    <row r="612" spans="5:16">
      <c r="E612" s="21"/>
      <c r="F612" s="20" t="str">
        <f>IFERROR(_xlfn.XLOOKUP(E612,#REF!,#REF!), "")</f>
        <v/>
      </c>
      <c r="G612" s="22"/>
      <c r="J612" s="6"/>
      <c r="P612" s="19"/>
    </row>
    <row r="613" spans="5:16">
      <c r="E613" s="21"/>
      <c r="F613" s="20" t="str">
        <f>IFERROR(_xlfn.XLOOKUP(E613,#REF!,#REF!), "")</f>
        <v/>
      </c>
      <c r="G613" s="22"/>
      <c r="J613" s="6"/>
      <c r="P613" s="19"/>
    </row>
    <row r="614" spans="5:16">
      <c r="E614" s="21"/>
      <c r="F614" s="20" t="str">
        <f>IFERROR(_xlfn.XLOOKUP(E614,#REF!,#REF!), "")</f>
        <v/>
      </c>
      <c r="G614" s="22"/>
      <c r="J614" s="6"/>
      <c r="P614" s="19"/>
    </row>
    <row r="615" spans="5:16">
      <c r="E615" s="21"/>
      <c r="F615" s="20" t="str">
        <f>IFERROR(_xlfn.XLOOKUP(E615,#REF!,#REF!), "")</f>
        <v/>
      </c>
      <c r="G615" s="22"/>
      <c r="J615" s="6"/>
      <c r="P615" s="19"/>
    </row>
    <row r="616" spans="5:16">
      <c r="E616" s="21"/>
      <c r="F616" s="20" t="str">
        <f>IFERROR(_xlfn.XLOOKUP(E616,#REF!,#REF!), "")</f>
        <v/>
      </c>
      <c r="G616" s="22"/>
      <c r="J616" s="6"/>
      <c r="P616" s="19"/>
    </row>
    <row r="617" spans="5:16">
      <c r="E617" s="21"/>
      <c r="F617" s="20" t="str">
        <f>IFERROR(_xlfn.XLOOKUP(E617,#REF!,#REF!), "")</f>
        <v/>
      </c>
      <c r="G617" s="22"/>
      <c r="J617" s="6"/>
      <c r="P617" s="19"/>
    </row>
    <row r="618" spans="5:16">
      <c r="E618" s="21"/>
      <c r="F618" s="20" t="str">
        <f>IFERROR(_xlfn.XLOOKUP(E618,#REF!,#REF!), "")</f>
        <v/>
      </c>
      <c r="G618" s="22"/>
      <c r="J618" s="6"/>
      <c r="P618" s="19"/>
    </row>
    <row r="619" spans="5:16">
      <c r="E619" s="21"/>
      <c r="F619" s="20" t="str">
        <f>IFERROR(_xlfn.XLOOKUP(E619,#REF!,#REF!), "")</f>
        <v/>
      </c>
      <c r="G619" s="22"/>
      <c r="J619" s="6"/>
      <c r="P619" s="19"/>
    </row>
    <row r="620" spans="5:16">
      <c r="E620" s="21"/>
      <c r="F620" s="20" t="str">
        <f>IFERROR(_xlfn.XLOOKUP(E620,#REF!,#REF!), "")</f>
        <v/>
      </c>
      <c r="G620" s="22"/>
      <c r="J620" s="6"/>
      <c r="P620" s="19"/>
    </row>
    <row r="621" spans="5:16">
      <c r="E621" s="21"/>
      <c r="F621" s="20" t="str">
        <f>IFERROR(_xlfn.XLOOKUP(E621,#REF!,#REF!), "")</f>
        <v/>
      </c>
      <c r="G621" s="22"/>
      <c r="J621" s="6"/>
      <c r="P621" s="19"/>
    </row>
    <row r="622" spans="5:16">
      <c r="E622" s="21"/>
      <c r="F622" s="20" t="str">
        <f>IFERROR(_xlfn.XLOOKUP(E622,#REF!,#REF!), "")</f>
        <v/>
      </c>
      <c r="G622" s="22"/>
      <c r="J622" s="6"/>
      <c r="P622" s="19"/>
    </row>
    <row r="623" spans="5:16">
      <c r="E623" s="21"/>
      <c r="F623" s="20" t="str">
        <f>IFERROR(_xlfn.XLOOKUP(E623,#REF!,#REF!), "")</f>
        <v/>
      </c>
      <c r="G623" s="22"/>
      <c r="J623" s="6"/>
      <c r="P623" s="19"/>
    </row>
    <row r="624" spans="5:16">
      <c r="E624" s="21"/>
      <c r="F624" s="20" t="str">
        <f>IFERROR(_xlfn.XLOOKUP(E624,#REF!,#REF!), "")</f>
        <v/>
      </c>
      <c r="G624" s="22"/>
      <c r="J624" s="6"/>
      <c r="P624" s="19"/>
    </row>
    <row r="625" spans="5:16">
      <c r="E625" s="21"/>
      <c r="F625" s="20" t="str">
        <f>IFERROR(_xlfn.XLOOKUP(E625,#REF!,#REF!), "")</f>
        <v/>
      </c>
      <c r="G625" s="22"/>
      <c r="J625" s="6"/>
      <c r="P625" s="19"/>
    </row>
    <row r="626" spans="5:16">
      <c r="E626" s="21"/>
      <c r="F626" s="20" t="str">
        <f>IFERROR(_xlfn.XLOOKUP(E626,#REF!,#REF!), "")</f>
        <v/>
      </c>
      <c r="G626" s="22"/>
      <c r="J626" s="6"/>
      <c r="P626" s="19"/>
    </row>
    <row r="627" spans="5:16">
      <c r="E627" s="21"/>
      <c r="F627" s="20" t="str">
        <f>IFERROR(_xlfn.XLOOKUP(E627,#REF!,#REF!), "")</f>
        <v/>
      </c>
      <c r="G627" s="22"/>
      <c r="J627" s="6"/>
      <c r="P627" s="19"/>
    </row>
    <row r="628" spans="5:16">
      <c r="E628" s="21"/>
      <c r="F628" s="20" t="str">
        <f>IFERROR(_xlfn.XLOOKUP(E628,#REF!,#REF!), "")</f>
        <v/>
      </c>
      <c r="G628" s="22"/>
      <c r="J628" s="6"/>
      <c r="P628" s="19"/>
    </row>
    <row r="629" spans="5:16">
      <c r="E629" s="21"/>
      <c r="F629" s="20" t="str">
        <f>IFERROR(_xlfn.XLOOKUP(E629,#REF!,#REF!), "")</f>
        <v/>
      </c>
      <c r="G629" s="22"/>
      <c r="J629" s="6"/>
      <c r="P629" s="19"/>
    </row>
    <row r="630" spans="5:16">
      <c r="E630" s="21"/>
      <c r="F630" s="20" t="str">
        <f>IFERROR(_xlfn.XLOOKUP(E630,#REF!,#REF!), "")</f>
        <v/>
      </c>
      <c r="G630" s="22"/>
      <c r="J630" s="6"/>
      <c r="P630" s="19"/>
    </row>
    <row r="631" spans="5:16">
      <c r="E631" s="21"/>
      <c r="F631" s="20" t="str">
        <f>IFERROR(_xlfn.XLOOKUP(E631,#REF!,#REF!), "")</f>
        <v/>
      </c>
      <c r="G631" s="22"/>
      <c r="J631" s="6"/>
      <c r="P631" s="19"/>
    </row>
    <row r="632" spans="5:16">
      <c r="E632" s="21"/>
      <c r="F632" s="20" t="str">
        <f>IFERROR(_xlfn.XLOOKUP(E632,#REF!,#REF!), "")</f>
        <v/>
      </c>
      <c r="G632" s="22"/>
      <c r="J632" s="6"/>
      <c r="P632" s="19"/>
    </row>
    <row r="633" spans="5:16">
      <c r="E633" s="21"/>
      <c r="F633" s="20" t="str">
        <f>IFERROR(_xlfn.XLOOKUP(E633,#REF!,#REF!), "")</f>
        <v/>
      </c>
      <c r="G633" s="22"/>
      <c r="J633" s="6"/>
      <c r="P633" s="19"/>
    </row>
    <row r="634" spans="5:16">
      <c r="E634" s="21"/>
      <c r="F634" s="20" t="str">
        <f>IFERROR(_xlfn.XLOOKUP(E634,#REF!,#REF!), "")</f>
        <v/>
      </c>
      <c r="G634" s="22"/>
      <c r="J634" s="6"/>
      <c r="P634" s="19"/>
    </row>
    <row r="635" spans="5:16">
      <c r="E635" s="21"/>
      <c r="F635" s="20" t="str">
        <f>IFERROR(_xlfn.XLOOKUP(E635,#REF!,#REF!), "")</f>
        <v/>
      </c>
      <c r="G635" s="22"/>
      <c r="J635" s="6"/>
      <c r="P635" s="19"/>
    </row>
    <row r="636" spans="5:16">
      <c r="E636" s="21"/>
      <c r="F636" s="20" t="str">
        <f>IFERROR(_xlfn.XLOOKUP(E636,#REF!,#REF!), "")</f>
        <v/>
      </c>
      <c r="G636" s="22"/>
      <c r="J636" s="6"/>
      <c r="P636" s="19"/>
    </row>
    <row r="637" spans="5:16">
      <c r="E637" s="21"/>
      <c r="F637" s="20" t="str">
        <f>IFERROR(_xlfn.XLOOKUP(E637,#REF!,#REF!), "")</f>
        <v/>
      </c>
      <c r="G637" s="22"/>
      <c r="J637" s="6"/>
      <c r="P637" s="19"/>
    </row>
    <row r="638" spans="5:16">
      <c r="E638" s="21"/>
      <c r="F638" s="20" t="str">
        <f>IFERROR(_xlfn.XLOOKUP(E638,#REF!,#REF!), "")</f>
        <v/>
      </c>
      <c r="G638" s="22"/>
      <c r="J638" s="6"/>
      <c r="P638" s="19"/>
    </row>
    <row r="639" spans="5:16">
      <c r="E639" s="21"/>
      <c r="F639" s="20" t="str">
        <f>IFERROR(_xlfn.XLOOKUP(E639,#REF!,#REF!), "")</f>
        <v/>
      </c>
      <c r="G639" s="22"/>
      <c r="J639" s="6"/>
      <c r="P639" s="19"/>
    </row>
    <row r="640" spans="5:16">
      <c r="E640" s="21"/>
      <c r="F640" s="20" t="str">
        <f>IFERROR(_xlfn.XLOOKUP(E640,#REF!,#REF!), "")</f>
        <v/>
      </c>
      <c r="G640" s="22"/>
      <c r="J640" s="6"/>
      <c r="P640" s="19"/>
    </row>
    <row r="641" spans="5:16">
      <c r="E641" s="21"/>
      <c r="F641" s="20" t="str">
        <f>IFERROR(_xlfn.XLOOKUP(E641,#REF!,#REF!), "")</f>
        <v/>
      </c>
      <c r="G641" s="22"/>
      <c r="J641" s="6"/>
      <c r="P641" s="19"/>
    </row>
    <row r="642" spans="5:16">
      <c r="E642" s="21"/>
      <c r="F642" s="20" t="str">
        <f>IFERROR(_xlfn.XLOOKUP(E642,#REF!,#REF!), "")</f>
        <v/>
      </c>
      <c r="G642" s="22"/>
      <c r="J642" s="6"/>
      <c r="P642" s="19"/>
    </row>
    <row r="643" spans="5:16">
      <c r="E643" s="21"/>
      <c r="F643" s="20" t="str">
        <f>IFERROR(_xlfn.XLOOKUP(E643,#REF!,#REF!), "")</f>
        <v/>
      </c>
      <c r="G643" s="22"/>
      <c r="J643" s="6"/>
      <c r="P643" s="19"/>
    </row>
    <row r="644" spans="5:16">
      <c r="E644" s="21"/>
      <c r="F644" s="20" t="str">
        <f>IFERROR(_xlfn.XLOOKUP(E644,#REF!,#REF!), "")</f>
        <v/>
      </c>
      <c r="G644" s="22"/>
      <c r="J644" s="6"/>
      <c r="P644" s="19"/>
    </row>
    <row r="645" spans="5:16">
      <c r="E645" s="21"/>
      <c r="F645" s="20" t="str">
        <f>IFERROR(_xlfn.XLOOKUP(E645,#REF!,#REF!), "")</f>
        <v/>
      </c>
      <c r="G645" s="22"/>
      <c r="J645" s="6"/>
      <c r="P645" s="19"/>
    </row>
    <row r="646" spans="5:16">
      <c r="E646" s="21"/>
      <c r="F646" s="20" t="str">
        <f>IFERROR(_xlfn.XLOOKUP(E646,#REF!,#REF!), "")</f>
        <v/>
      </c>
      <c r="G646" s="22"/>
      <c r="J646" s="6"/>
      <c r="P646" s="19"/>
    </row>
    <row r="647" spans="5:16">
      <c r="E647" s="21"/>
      <c r="F647" s="20" t="str">
        <f>IFERROR(_xlfn.XLOOKUP(E647,#REF!,#REF!), "")</f>
        <v/>
      </c>
      <c r="G647" s="22"/>
      <c r="J647" s="6"/>
      <c r="P647" s="19"/>
    </row>
    <row r="648" spans="5:16">
      <c r="E648" s="21"/>
      <c r="F648" s="20" t="str">
        <f>IFERROR(_xlfn.XLOOKUP(E648,#REF!,#REF!), "")</f>
        <v/>
      </c>
      <c r="G648" s="22"/>
      <c r="J648" s="6"/>
      <c r="P648" s="19"/>
    </row>
    <row r="649" spans="5:16">
      <c r="E649" s="21"/>
      <c r="F649" s="20" t="str">
        <f>IFERROR(_xlfn.XLOOKUP(E649,#REF!,#REF!), "")</f>
        <v/>
      </c>
      <c r="G649" s="22"/>
      <c r="J649" s="6"/>
      <c r="P649" s="19"/>
    </row>
    <row r="650" spans="5:16">
      <c r="E650" s="21"/>
      <c r="F650" s="20" t="str">
        <f>IFERROR(_xlfn.XLOOKUP(E650,#REF!,#REF!), "")</f>
        <v/>
      </c>
      <c r="G650" s="22"/>
      <c r="J650" s="6"/>
      <c r="P650" s="19"/>
    </row>
    <row r="651" spans="5:16">
      <c r="E651" s="21"/>
      <c r="F651" s="20" t="str">
        <f>IFERROR(_xlfn.XLOOKUP(E651,#REF!,#REF!), "")</f>
        <v/>
      </c>
      <c r="G651" s="22"/>
      <c r="J651" s="6"/>
      <c r="P651" s="19"/>
    </row>
    <row r="652" spans="5:16">
      <c r="E652" s="21"/>
      <c r="F652" s="20" t="str">
        <f>IFERROR(_xlfn.XLOOKUP(E652,#REF!,#REF!), "")</f>
        <v/>
      </c>
      <c r="G652" s="22"/>
      <c r="J652" s="6"/>
      <c r="P652" s="19"/>
    </row>
    <row r="653" spans="5:16">
      <c r="E653" s="21"/>
      <c r="F653" s="20" t="str">
        <f>IFERROR(_xlfn.XLOOKUP(E653,#REF!,#REF!), "")</f>
        <v/>
      </c>
      <c r="G653" s="22"/>
      <c r="J653" s="6"/>
      <c r="P653" s="19"/>
    </row>
    <row r="654" spans="5:16">
      <c r="E654" s="21"/>
      <c r="F654" s="20" t="str">
        <f>IFERROR(_xlfn.XLOOKUP(E654,#REF!,#REF!), "")</f>
        <v/>
      </c>
      <c r="G654" s="22"/>
      <c r="J654" s="6"/>
      <c r="P654" s="19"/>
    </row>
    <row r="655" spans="5:16">
      <c r="E655" s="21"/>
      <c r="F655" s="20" t="str">
        <f>IFERROR(_xlfn.XLOOKUP(E655,#REF!,#REF!), "")</f>
        <v/>
      </c>
      <c r="G655" s="22"/>
      <c r="J655" s="6"/>
      <c r="P655" s="19"/>
    </row>
    <row r="656" spans="5:16">
      <c r="E656" s="21"/>
      <c r="F656" s="20" t="str">
        <f>IFERROR(_xlfn.XLOOKUP(E656,#REF!,#REF!), "")</f>
        <v/>
      </c>
      <c r="G656" s="22"/>
      <c r="J656" s="6"/>
      <c r="P656" s="19"/>
    </row>
    <row r="657" spans="5:16">
      <c r="E657" s="21"/>
      <c r="F657" s="20" t="str">
        <f>IFERROR(_xlfn.XLOOKUP(E657,#REF!,#REF!), "")</f>
        <v/>
      </c>
      <c r="G657" s="22"/>
      <c r="J657" s="6"/>
      <c r="P657" s="19"/>
    </row>
    <row r="658" spans="5:16">
      <c r="E658" s="21"/>
      <c r="F658" s="20" t="str">
        <f>IFERROR(_xlfn.XLOOKUP(E658,#REF!,#REF!), "")</f>
        <v/>
      </c>
      <c r="G658" s="22"/>
      <c r="J658" s="6"/>
      <c r="P658" s="19"/>
    </row>
    <row r="659" spans="5:16">
      <c r="E659" s="21"/>
      <c r="F659" s="20" t="str">
        <f>IFERROR(_xlfn.XLOOKUP(E659,#REF!,#REF!), "")</f>
        <v/>
      </c>
      <c r="G659" s="22"/>
      <c r="J659" s="6"/>
      <c r="P659" s="19"/>
    </row>
    <row r="660" spans="5:16">
      <c r="E660" s="21"/>
      <c r="F660" s="20" t="str">
        <f>IFERROR(_xlfn.XLOOKUP(E660,#REF!,#REF!), "")</f>
        <v/>
      </c>
      <c r="G660" s="22"/>
      <c r="J660" s="6"/>
      <c r="P660" s="19"/>
    </row>
    <row r="661" spans="5:16">
      <c r="E661" s="21"/>
      <c r="F661" s="20" t="str">
        <f>IFERROR(_xlfn.XLOOKUP(E661,#REF!,#REF!), "")</f>
        <v/>
      </c>
      <c r="G661" s="22"/>
      <c r="J661" s="6"/>
      <c r="P661" s="19"/>
    </row>
    <row r="662" spans="5:16">
      <c r="E662" s="21"/>
      <c r="F662" s="20" t="str">
        <f>IFERROR(_xlfn.XLOOKUP(E662,#REF!,#REF!), "")</f>
        <v/>
      </c>
      <c r="G662" s="22"/>
      <c r="J662" s="6"/>
      <c r="P662" s="19"/>
    </row>
    <row r="663" spans="5:16">
      <c r="E663" s="21"/>
      <c r="F663" s="20" t="str">
        <f>IFERROR(_xlfn.XLOOKUP(E663,#REF!,#REF!), "")</f>
        <v/>
      </c>
      <c r="G663" s="22"/>
      <c r="J663" s="6"/>
      <c r="P663" s="19"/>
    </row>
    <row r="664" spans="5:16">
      <c r="E664" s="21"/>
      <c r="F664" s="20" t="str">
        <f>IFERROR(_xlfn.XLOOKUP(E664,#REF!,#REF!), "")</f>
        <v/>
      </c>
      <c r="G664" s="22"/>
      <c r="J664" s="6"/>
      <c r="P664" s="19"/>
    </row>
    <row r="665" spans="5:16">
      <c r="E665" s="21"/>
      <c r="F665" s="20" t="str">
        <f>IFERROR(_xlfn.XLOOKUP(E665,#REF!,#REF!), "")</f>
        <v/>
      </c>
      <c r="G665" s="22"/>
      <c r="J665" s="6"/>
      <c r="P665" s="19"/>
    </row>
  </sheetData>
  <autoFilter ref="A1:M349" xr:uid="{211CCB2D-C84A-4688-B76F-DF6F402C24BB}"/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5AF8-10EE-45D2-B964-ADDE4751DEE4}">
  <dimension ref="A1:T221"/>
  <sheetViews>
    <sheetView workbookViewId="0">
      <selection activeCell="O18" sqref="O18"/>
    </sheetView>
  </sheetViews>
  <sheetFormatPr defaultRowHeight="15"/>
  <cols>
    <col min="1" max="1" width="36.28515625" style="8" bestFit="1" customWidth="1"/>
    <col min="2" max="2" width="29.140625" style="8" customWidth="1"/>
    <col min="11" max="11" width="11.28515625" bestFit="1" customWidth="1"/>
  </cols>
  <sheetData>
    <row r="1" spans="1:20">
      <c r="A1" s="9"/>
      <c r="B1" s="9"/>
      <c r="K1" t="e" cm="1">
        <f t="array" ref="K1">_xlfn._xlws.FILTER(C:C,C:C&lt;&gt;FALSE)</f>
        <v>#REF!</v>
      </c>
    </row>
    <row r="2" spans="1:20" ht="30">
      <c r="A2" s="18"/>
      <c r="B2" s="18"/>
      <c r="O2" s="27" t="s">
        <v>338</v>
      </c>
      <c r="P2" s="28"/>
      <c r="Q2" s="28"/>
      <c r="R2" s="28"/>
      <c r="S2" s="28"/>
      <c r="T2" s="28"/>
    </row>
    <row r="3" spans="1:20" ht="30.75" thickBot="1">
      <c r="A3" s="10" t="s">
        <v>315</v>
      </c>
      <c r="B3" s="10" t="s">
        <v>335</v>
      </c>
      <c r="C3" t="s">
        <v>337</v>
      </c>
      <c r="O3" s="28"/>
      <c r="P3" s="28"/>
      <c r="Q3" s="28"/>
      <c r="R3" s="28"/>
      <c r="S3" s="28"/>
      <c r="T3" s="28"/>
    </row>
    <row r="4" spans="1:20" ht="15.75" thickTop="1">
      <c r="A4" s="11" t="s">
        <v>316</v>
      </c>
      <c r="B4" s="12" t="s">
        <v>336</v>
      </c>
      <c r="C4" t="e">
        <f>IF(B4="Sim",(_xlfn.XLOOKUP('(misc) bot de cod mun'!A4,#REF!,#REF!)))</f>
        <v>#REF!</v>
      </c>
      <c r="O4" s="28"/>
      <c r="P4" s="28"/>
      <c r="Q4" s="28"/>
      <c r="R4" s="28"/>
      <c r="S4" s="28"/>
      <c r="T4" s="28"/>
    </row>
    <row r="5" spans="1:20">
      <c r="A5" s="13" t="s">
        <v>317</v>
      </c>
      <c r="B5" s="12" t="s">
        <v>336</v>
      </c>
      <c r="C5" t="e">
        <f>IF(B5="Sim",(_xlfn.XLOOKUP('(misc) bot de cod mun'!A5,#REF!,#REF!)))</f>
        <v>#REF!</v>
      </c>
      <c r="O5" s="28"/>
      <c r="P5" s="28"/>
      <c r="Q5" s="28"/>
      <c r="R5" s="28"/>
      <c r="S5" s="28"/>
      <c r="T5" s="28"/>
    </row>
    <row r="6" spans="1:20">
      <c r="A6" s="11" t="s">
        <v>318</v>
      </c>
      <c r="B6" s="15"/>
      <c r="C6" t="b">
        <f>IF(B6="Sim",(_xlfn.XLOOKUP('(misc) bot de cod mun'!A6,#REF!,#REF!)))</f>
        <v>0</v>
      </c>
      <c r="O6" s="28"/>
      <c r="P6" s="28"/>
      <c r="Q6" s="28"/>
      <c r="R6" s="28"/>
      <c r="S6" s="28"/>
      <c r="T6" s="28"/>
    </row>
    <row r="7" spans="1:20">
      <c r="A7" s="13" t="s">
        <v>319</v>
      </c>
      <c r="B7" s="14"/>
      <c r="C7" t="b">
        <f>IF(B7="Sim",(_xlfn.XLOOKUP('(misc) bot de cod mun'!A7,#REF!,#REF!)))</f>
        <v>0</v>
      </c>
      <c r="O7" s="28"/>
      <c r="P7" s="28"/>
      <c r="Q7" s="28"/>
      <c r="R7" s="28"/>
      <c r="S7" s="28"/>
      <c r="T7" s="28"/>
    </row>
    <row r="8" spans="1:20">
      <c r="A8" s="11" t="s">
        <v>317</v>
      </c>
      <c r="B8" s="12" t="s">
        <v>336</v>
      </c>
      <c r="C8" t="e">
        <f>IF(B8="Sim",(_xlfn.XLOOKUP('(misc) bot de cod mun'!A8,#REF!,#REF!)))</f>
        <v>#REF!</v>
      </c>
      <c r="O8" s="28"/>
      <c r="P8" s="28"/>
      <c r="Q8" s="28"/>
      <c r="R8" s="28"/>
      <c r="S8" s="28"/>
      <c r="T8" s="28"/>
    </row>
    <row r="9" spans="1:20">
      <c r="A9" s="13" t="s">
        <v>320</v>
      </c>
      <c r="B9" s="14"/>
      <c r="C9" t="b">
        <f>IF(B9="Sim",(_xlfn.XLOOKUP('(misc) bot de cod mun'!A9,#REF!,#REF!)))</f>
        <v>0</v>
      </c>
      <c r="O9" s="28"/>
      <c r="P9" s="28"/>
      <c r="Q9" s="28"/>
      <c r="R9" s="28"/>
      <c r="S9" s="28"/>
      <c r="T9" s="28"/>
    </row>
    <row r="10" spans="1:20">
      <c r="A10" s="11" t="s">
        <v>321</v>
      </c>
      <c r="B10" s="15"/>
      <c r="C10" t="b">
        <f>IF(B10="Sim",(_xlfn.XLOOKUP('(misc) bot de cod mun'!A10,#REF!,#REF!)))</f>
        <v>0</v>
      </c>
      <c r="O10" s="28"/>
      <c r="P10" s="28"/>
      <c r="Q10" s="28"/>
      <c r="R10" s="28"/>
      <c r="S10" s="28"/>
      <c r="T10" s="28"/>
    </row>
    <row r="11" spans="1:20">
      <c r="A11" s="13" t="s">
        <v>322</v>
      </c>
      <c r="B11" s="14"/>
      <c r="C11" t="b">
        <f>IF(B11="Sim",(_xlfn.XLOOKUP('(misc) bot de cod mun'!A11,#REF!,#REF!)))</f>
        <v>0</v>
      </c>
      <c r="O11" s="28"/>
      <c r="P11" s="28"/>
      <c r="Q11" s="28"/>
      <c r="R11" s="28"/>
      <c r="S11" s="28"/>
      <c r="T11" s="28"/>
    </row>
    <row r="12" spans="1:20">
      <c r="A12" s="11" t="s">
        <v>323</v>
      </c>
      <c r="B12" s="12" t="s">
        <v>336</v>
      </c>
      <c r="C12" t="e">
        <f>IF(B12="Sim",(_xlfn.XLOOKUP('(misc) bot de cod mun'!A12,#REF!,#REF!)))</f>
        <v>#REF!</v>
      </c>
      <c r="O12" s="28"/>
      <c r="P12" s="28"/>
      <c r="Q12" s="28"/>
      <c r="R12" s="28"/>
      <c r="S12" s="28"/>
      <c r="T12" s="28"/>
    </row>
    <row r="13" spans="1:20">
      <c r="A13" s="13" t="s">
        <v>324</v>
      </c>
      <c r="B13" s="14"/>
      <c r="C13" t="b">
        <f>IF(B13="Sim",(_xlfn.XLOOKUP('(misc) bot de cod mun'!A13,#REF!,#REF!)))</f>
        <v>0</v>
      </c>
      <c r="O13" s="28"/>
      <c r="P13" s="28"/>
      <c r="Q13" s="28"/>
      <c r="R13" s="28"/>
      <c r="S13" s="28"/>
      <c r="T13" s="28"/>
    </row>
    <row r="14" spans="1:20">
      <c r="A14" s="11" t="s">
        <v>325</v>
      </c>
      <c r="B14" s="12" t="s">
        <v>336</v>
      </c>
      <c r="C14" t="e">
        <f>IF(B14="Sim",(_xlfn.XLOOKUP('(misc) bot de cod mun'!A14,#REF!,#REF!)))</f>
        <v>#REF!</v>
      </c>
      <c r="O14" s="28"/>
      <c r="P14" s="28"/>
      <c r="Q14" s="28"/>
      <c r="R14" s="28"/>
      <c r="S14" s="28"/>
      <c r="T14" s="28"/>
    </row>
    <row r="15" spans="1:20">
      <c r="A15" s="13" t="s">
        <v>326</v>
      </c>
      <c r="B15" s="14"/>
      <c r="C15" t="b">
        <f>IF(B15="Sim",(_xlfn.XLOOKUP('(misc) bot de cod mun'!A15,#REF!,#REF!)))</f>
        <v>0</v>
      </c>
      <c r="O15" s="28"/>
      <c r="P15" s="28"/>
      <c r="Q15" s="28"/>
      <c r="R15" s="28"/>
      <c r="S15" s="28"/>
      <c r="T15" s="28"/>
    </row>
    <row r="16" spans="1:20">
      <c r="A16" s="11" t="s">
        <v>318</v>
      </c>
      <c r="B16" s="15"/>
      <c r="C16" t="b">
        <f>IF(B16="Sim",(_xlfn.XLOOKUP('(misc) bot de cod mun'!A16,#REF!,#REF!)))</f>
        <v>0</v>
      </c>
      <c r="O16" s="28"/>
      <c r="P16" s="28"/>
      <c r="Q16" s="28"/>
      <c r="R16" s="28"/>
      <c r="S16" s="28"/>
      <c r="T16" s="28"/>
    </row>
    <row r="17" spans="1:20">
      <c r="A17" s="13" t="s">
        <v>327</v>
      </c>
      <c r="B17" s="14"/>
      <c r="C17" t="b">
        <f>IF(B17="Sim",(_xlfn.XLOOKUP('(misc) bot de cod mun'!A17,#REF!,#REF!)))</f>
        <v>0</v>
      </c>
      <c r="O17" s="28"/>
      <c r="P17" s="28"/>
      <c r="Q17" s="28"/>
      <c r="R17" s="28"/>
      <c r="S17" s="28"/>
      <c r="T17" s="28"/>
    </row>
    <row r="18" spans="1:20">
      <c r="A18" s="11" t="s">
        <v>324</v>
      </c>
      <c r="B18" s="15"/>
      <c r="C18" t="b">
        <f>IF(B18="Sim",(_xlfn.XLOOKUP('(misc) bot de cod mun'!A18,#REF!,#REF!)))</f>
        <v>0</v>
      </c>
    </row>
    <row r="19" spans="1:20">
      <c r="A19" s="13" t="s">
        <v>318</v>
      </c>
      <c r="B19" s="14"/>
      <c r="C19" t="b">
        <f>IF(B19="Sim",(_xlfn.XLOOKUP('(misc) bot de cod mun'!A19,#REF!,#REF!)))</f>
        <v>0</v>
      </c>
    </row>
    <row r="20" spans="1:20">
      <c r="A20" s="11" t="s">
        <v>328</v>
      </c>
      <c r="B20" s="15"/>
      <c r="C20" t="b">
        <f>IF(B20="Sim",(_xlfn.XLOOKUP('(misc) bot de cod mun'!A20,#REF!,#REF!)))</f>
        <v>0</v>
      </c>
    </row>
    <row r="21" spans="1:20">
      <c r="A21" s="13" t="s">
        <v>326</v>
      </c>
      <c r="B21" s="14"/>
      <c r="C21" t="b">
        <f>IF(B21="Sim",(_xlfn.XLOOKUP('(misc) bot de cod mun'!A21,#REF!,#REF!)))</f>
        <v>0</v>
      </c>
    </row>
    <row r="22" spans="1:20">
      <c r="A22" s="11" t="s">
        <v>329</v>
      </c>
      <c r="B22" s="15"/>
      <c r="C22" t="b">
        <f>IF(B22="Sim",(_xlfn.XLOOKUP('(misc) bot de cod mun'!A22,#REF!,#REF!)))</f>
        <v>0</v>
      </c>
    </row>
    <row r="23" spans="1:20">
      <c r="A23" s="13" t="s">
        <v>320</v>
      </c>
      <c r="B23" s="12" t="s">
        <v>336</v>
      </c>
      <c r="C23" t="e">
        <f>IF(B23="Sim",(_xlfn.XLOOKUP('(misc) bot de cod mun'!A23,#REF!,#REF!)))</f>
        <v>#REF!</v>
      </c>
    </row>
    <row r="24" spans="1:20">
      <c r="A24" s="11" t="s">
        <v>329</v>
      </c>
      <c r="B24" s="12" t="s">
        <v>336</v>
      </c>
      <c r="C24" t="e">
        <f>IF(B24="Sim",(_xlfn.XLOOKUP('(misc) bot de cod mun'!A24,#REF!,#REF!)))</f>
        <v>#REF!</v>
      </c>
    </row>
    <row r="25" spans="1:20">
      <c r="A25" s="13" t="s">
        <v>327</v>
      </c>
      <c r="B25" s="14"/>
      <c r="C25" t="b">
        <f>IF(B25="Sim",(_xlfn.XLOOKUP('(misc) bot de cod mun'!A25,#REF!,#REF!)))</f>
        <v>0</v>
      </c>
    </row>
    <row r="26" spans="1:20">
      <c r="A26" s="11" t="s">
        <v>330</v>
      </c>
      <c r="B26" s="15"/>
      <c r="C26" t="b">
        <f>IF(B26="Sim",(_xlfn.XLOOKUP('(misc) bot de cod mun'!A26,#REF!,#REF!)))</f>
        <v>0</v>
      </c>
    </row>
    <row r="27" spans="1:20">
      <c r="A27" s="13" t="s">
        <v>323</v>
      </c>
      <c r="B27" s="12" t="s">
        <v>336</v>
      </c>
      <c r="C27" t="e">
        <f>IF(B27="Sim",(_xlfn.XLOOKUP('(misc) bot de cod mun'!A27,#REF!,#REF!)))</f>
        <v>#REF!</v>
      </c>
    </row>
    <row r="28" spans="1:20">
      <c r="A28" s="11" t="s">
        <v>331</v>
      </c>
      <c r="B28" s="15"/>
      <c r="C28" t="b">
        <f>IF(B28="Sim",(_xlfn.XLOOKUP('(misc) bot de cod mun'!A28,#REF!,#REF!)))</f>
        <v>0</v>
      </c>
    </row>
    <row r="29" spans="1:20">
      <c r="A29" s="13" t="s">
        <v>328</v>
      </c>
      <c r="B29" s="12" t="s">
        <v>336</v>
      </c>
      <c r="C29" t="e">
        <f>IF(B29="Sim",(_xlfn.XLOOKUP('(misc) bot de cod mun'!A29,#REF!,#REF!)))</f>
        <v>#REF!</v>
      </c>
    </row>
    <row r="30" spans="1:20">
      <c r="A30" s="11" t="s">
        <v>329</v>
      </c>
      <c r="B30" s="15"/>
      <c r="C30" t="b">
        <f>IF(B30="Sim",(_xlfn.XLOOKUP('(misc) bot de cod mun'!A30,#REF!,#REF!)))</f>
        <v>0</v>
      </c>
    </row>
    <row r="31" spans="1:20">
      <c r="A31" s="13" t="s">
        <v>326</v>
      </c>
      <c r="B31" s="14"/>
      <c r="C31" t="b">
        <f>IF(B31="Sim",(_xlfn.XLOOKUP('(misc) bot de cod mun'!A31,#REF!,#REF!)))</f>
        <v>0</v>
      </c>
    </row>
    <row r="32" spans="1:20">
      <c r="A32" s="11" t="s">
        <v>322</v>
      </c>
      <c r="B32" s="15"/>
      <c r="C32" t="b">
        <f>IF(B32="Sim",(_xlfn.XLOOKUP('(misc) bot de cod mun'!A32,#REF!,#REF!)))</f>
        <v>0</v>
      </c>
    </row>
    <row r="33" spans="1:3">
      <c r="A33" s="13" t="s">
        <v>331</v>
      </c>
      <c r="B33" s="14"/>
      <c r="C33" t="b">
        <f>IF(B33="Sim",(_xlfn.XLOOKUP('(misc) bot de cod mun'!A33,#REF!,#REF!)))</f>
        <v>0</v>
      </c>
    </row>
    <row r="34" spans="1:3">
      <c r="A34" s="11" t="s">
        <v>327</v>
      </c>
      <c r="B34" s="15"/>
      <c r="C34" t="b">
        <f>IF(B34="Sim",(_xlfn.XLOOKUP('(misc) bot de cod mun'!A34,#REF!,#REF!)))</f>
        <v>0</v>
      </c>
    </row>
    <row r="35" spans="1:3">
      <c r="A35" s="13" t="s">
        <v>332</v>
      </c>
      <c r="B35" s="14"/>
      <c r="C35" t="b">
        <f>IF(B35="Sim",(_xlfn.XLOOKUP('(misc) bot de cod mun'!A35,#REF!,#REF!)))</f>
        <v>0</v>
      </c>
    </row>
    <row r="36" spans="1:3">
      <c r="A36" s="11" t="s">
        <v>324</v>
      </c>
      <c r="B36" s="15"/>
      <c r="C36" t="b">
        <f>IF(B36="Sim",(_xlfn.XLOOKUP('(misc) bot de cod mun'!A36,#REF!,#REF!)))</f>
        <v>0</v>
      </c>
    </row>
    <row r="37" spans="1:3">
      <c r="A37" s="13" t="s">
        <v>322</v>
      </c>
      <c r="B37" s="14"/>
      <c r="C37" t="b">
        <f>IF(B37="Sim",(_xlfn.XLOOKUP('(misc) bot de cod mun'!A37,#REF!,#REF!)))</f>
        <v>0</v>
      </c>
    </row>
    <row r="38" spans="1:3">
      <c r="A38" s="11" t="s">
        <v>316</v>
      </c>
      <c r="B38" s="15"/>
      <c r="C38" t="b">
        <f>IF(B38="Sim",(_xlfn.XLOOKUP('(misc) bot de cod mun'!A38,#REF!,#REF!)))</f>
        <v>0</v>
      </c>
    </row>
    <row r="39" spans="1:3">
      <c r="A39" s="13" t="s">
        <v>320</v>
      </c>
      <c r="B39" s="14"/>
      <c r="C39" t="b">
        <f>IF(B39="Sim",(_xlfn.XLOOKUP('(misc) bot de cod mun'!A39,#REF!,#REF!)))</f>
        <v>0</v>
      </c>
    </row>
    <row r="40" spans="1:3">
      <c r="A40" s="11" t="s">
        <v>318</v>
      </c>
      <c r="B40" s="15"/>
      <c r="C40" t="b">
        <f>IF(B40="Sim",(_xlfn.XLOOKUP('(misc) bot de cod mun'!A40,#REF!,#REF!)))</f>
        <v>0</v>
      </c>
    </row>
    <row r="41" spans="1:3">
      <c r="A41" s="13" t="s">
        <v>320</v>
      </c>
      <c r="B41" s="14"/>
      <c r="C41" t="b">
        <f>IF(B41="Sim",(_xlfn.XLOOKUP('(misc) bot de cod mun'!A41,#REF!,#REF!)))</f>
        <v>0</v>
      </c>
    </row>
    <row r="42" spans="1:3">
      <c r="A42" s="11" t="s">
        <v>317</v>
      </c>
      <c r="B42" s="12" t="s">
        <v>336</v>
      </c>
      <c r="C42" t="e">
        <f>IF(B42="Sim",(_xlfn.XLOOKUP('(misc) bot de cod mun'!A42,#REF!,#REF!)))</f>
        <v>#REF!</v>
      </c>
    </row>
    <row r="43" spans="1:3">
      <c r="A43" s="13" t="s">
        <v>331</v>
      </c>
      <c r="B43" s="12" t="s">
        <v>336</v>
      </c>
      <c r="C43" t="e">
        <f>IF(B43="Sim",(_xlfn.XLOOKUP('(misc) bot de cod mun'!A43,#REF!,#REF!)))</f>
        <v>#REF!</v>
      </c>
    </row>
    <row r="44" spans="1:3">
      <c r="A44" s="11" t="s">
        <v>316</v>
      </c>
      <c r="B44" s="12" t="s">
        <v>336</v>
      </c>
      <c r="C44" t="e">
        <f>IF(B44="Sim",(_xlfn.XLOOKUP('(misc) bot de cod mun'!A44,#REF!,#REF!)))</f>
        <v>#REF!</v>
      </c>
    </row>
    <row r="45" spans="1:3">
      <c r="A45" s="13" t="s">
        <v>325</v>
      </c>
      <c r="B45" s="14"/>
      <c r="C45" t="b">
        <f>IF(B45="Sim",(_xlfn.XLOOKUP('(misc) bot de cod mun'!A45,#REF!,#REF!)))</f>
        <v>0</v>
      </c>
    </row>
    <row r="46" spans="1:3">
      <c r="A46" s="11" t="s">
        <v>329</v>
      </c>
      <c r="B46" s="15"/>
      <c r="C46" t="b">
        <f>IF(B46="Sim",(_xlfn.XLOOKUP('(misc) bot de cod mun'!A46,#REF!,#REF!)))</f>
        <v>0</v>
      </c>
    </row>
    <row r="47" spans="1:3">
      <c r="A47" s="13" t="s">
        <v>330</v>
      </c>
      <c r="B47" s="14"/>
      <c r="C47" t="b">
        <f>IF(B47="Sim",(_xlfn.XLOOKUP('(misc) bot de cod mun'!A47,#REF!,#REF!)))</f>
        <v>0</v>
      </c>
    </row>
    <row r="48" spans="1:3">
      <c r="A48" s="11" t="s">
        <v>330</v>
      </c>
      <c r="B48" s="15"/>
      <c r="C48" t="b">
        <f>IF(B48="Sim",(_xlfn.XLOOKUP('(misc) bot de cod mun'!A48,#REF!,#REF!)))</f>
        <v>0</v>
      </c>
    </row>
    <row r="49" spans="1:3">
      <c r="A49" s="13" t="s">
        <v>325</v>
      </c>
      <c r="B49" s="14"/>
      <c r="C49" t="b">
        <f>IF(B49="Sim",(_xlfn.XLOOKUP('(misc) bot de cod mun'!A49,#REF!,#REF!)))</f>
        <v>0</v>
      </c>
    </row>
    <row r="50" spans="1:3">
      <c r="A50" s="11" t="s">
        <v>324</v>
      </c>
      <c r="B50" s="15"/>
      <c r="C50" t="b">
        <f>IF(B50="Sim",(_xlfn.XLOOKUP('(misc) bot de cod mun'!A50,#REF!,#REF!)))</f>
        <v>0</v>
      </c>
    </row>
    <row r="51" spans="1:3">
      <c r="A51" s="13" t="s">
        <v>326</v>
      </c>
      <c r="B51" s="14"/>
      <c r="C51" t="b">
        <f>IF(B51="Sim",(_xlfn.XLOOKUP('(misc) bot de cod mun'!A51,#REF!,#REF!)))</f>
        <v>0</v>
      </c>
    </row>
    <row r="52" spans="1:3">
      <c r="A52" s="11" t="s">
        <v>333</v>
      </c>
      <c r="B52" s="15"/>
      <c r="C52" t="b">
        <f>IF(B52="Sim",(_xlfn.XLOOKUP('(misc) bot de cod mun'!A52,#REF!,#REF!)))</f>
        <v>0</v>
      </c>
    </row>
    <row r="53" spans="1:3">
      <c r="A53" s="13" t="s">
        <v>325</v>
      </c>
      <c r="B53" s="12" t="s">
        <v>336</v>
      </c>
      <c r="C53" t="e">
        <f>IF(B53="Sim",(_xlfn.XLOOKUP('(misc) bot de cod mun'!A53,#REF!,#REF!)))</f>
        <v>#REF!</v>
      </c>
    </row>
    <row r="54" spans="1:3">
      <c r="A54" s="11" t="s">
        <v>324</v>
      </c>
      <c r="B54" s="15"/>
      <c r="C54" t="b">
        <f>IF(B54="Sim",(_xlfn.XLOOKUP('(misc) bot de cod mun'!A54,#REF!,#REF!)))</f>
        <v>0</v>
      </c>
    </row>
    <row r="55" spans="1:3">
      <c r="A55" s="13" t="s">
        <v>317</v>
      </c>
      <c r="B55" s="12" t="s">
        <v>336</v>
      </c>
      <c r="C55" t="e">
        <f>IF(B55="Sim",(_xlfn.XLOOKUP('(misc) bot de cod mun'!A55,#REF!,#REF!)))</f>
        <v>#REF!</v>
      </c>
    </row>
    <row r="56" spans="1:3">
      <c r="A56" s="11" t="s">
        <v>327</v>
      </c>
      <c r="B56" s="15"/>
      <c r="C56" t="b">
        <f>IF(B56="Sim",(_xlfn.XLOOKUP('(misc) bot de cod mun'!A56,#REF!,#REF!)))</f>
        <v>0</v>
      </c>
    </row>
    <row r="57" spans="1:3">
      <c r="A57" s="13" t="s">
        <v>327</v>
      </c>
      <c r="B57" s="14"/>
      <c r="C57" t="b">
        <f>IF(B57="Sim",(_xlfn.XLOOKUP('(misc) bot de cod mun'!A57,#REF!,#REF!)))</f>
        <v>0</v>
      </c>
    </row>
    <row r="58" spans="1:3">
      <c r="A58" s="11" t="s">
        <v>324</v>
      </c>
      <c r="B58" s="15"/>
      <c r="C58" t="b">
        <f>IF(B58="Sim",(_xlfn.XLOOKUP('(misc) bot de cod mun'!A58,#REF!,#REF!)))</f>
        <v>0</v>
      </c>
    </row>
    <row r="59" spans="1:3">
      <c r="A59" s="13" t="s">
        <v>324</v>
      </c>
      <c r="B59" s="14"/>
      <c r="C59" t="b">
        <f>IF(B59="Sim",(_xlfn.XLOOKUP('(misc) bot de cod mun'!A59,#REF!,#REF!)))</f>
        <v>0</v>
      </c>
    </row>
    <row r="60" spans="1:3">
      <c r="A60" s="11" t="s">
        <v>318</v>
      </c>
      <c r="B60" s="12" t="s">
        <v>336</v>
      </c>
      <c r="C60" t="e">
        <f>IF(B60="Sim",(_xlfn.XLOOKUP('(misc) bot de cod mun'!A60,#REF!,#REF!)))</f>
        <v>#REF!</v>
      </c>
    </row>
    <row r="61" spans="1:3">
      <c r="A61" s="13" t="s">
        <v>316</v>
      </c>
      <c r="B61" s="12" t="s">
        <v>336</v>
      </c>
      <c r="C61" t="e">
        <f>IF(B61="Sim",(_xlfn.XLOOKUP('(misc) bot de cod mun'!A61,#REF!,#REF!)))</f>
        <v>#REF!</v>
      </c>
    </row>
    <row r="62" spans="1:3">
      <c r="A62" s="11" t="s">
        <v>321</v>
      </c>
      <c r="B62" s="12" t="s">
        <v>336</v>
      </c>
      <c r="C62" t="e">
        <f>IF(B62="Sim",(_xlfn.XLOOKUP('(misc) bot de cod mun'!A62,#REF!,#REF!)))</f>
        <v>#REF!</v>
      </c>
    </row>
    <row r="63" spans="1:3">
      <c r="A63" s="13" t="s">
        <v>317</v>
      </c>
      <c r="B63" s="12" t="s">
        <v>336</v>
      </c>
      <c r="C63" t="e">
        <f>IF(B63="Sim",(_xlfn.XLOOKUP('(misc) bot de cod mun'!A63,#REF!,#REF!)))</f>
        <v>#REF!</v>
      </c>
    </row>
    <row r="64" spans="1:3">
      <c r="A64" s="11" t="s">
        <v>331</v>
      </c>
      <c r="B64" s="12" t="s">
        <v>336</v>
      </c>
      <c r="C64" t="e">
        <f>IF(B64="Sim",(_xlfn.XLOOKUP('(misc) bot de cod mun'!A64,#REF!,#REF!)))</f>
        <v>#REF!</v>
      </c>
    </row>
    <row r="65" spans="1:3">
      <c r="A65" s="13" t="s">
        <v>320</v>
      </c>
      <c r="B65" s="14"/>
      <c r="C65" t="b">
        <f>IF(B65="Sim",(_xlfn.XLOOKUP('(misc) bot de cod mun'!A65,#REF!,#REF!)))</f>
        <v>0</v>
      </c>
    </row>
    <row r="66" spans="1:3">
      <c r="A66" s="11" t="s">
        <v>321</v>
      </c>
      <c r="B66" s="12" t="s">
        <v>336</v>
      </c>
      <c r="C66" t="e">
        <f>IF(B66="Sim",(_xlfn.XLOOKUP('(misc) bot de cod mun'!A66,#REF!,#REF!)))</f>
        <v>#REF!</v>
      </c>
    </row>
    <row r="67" spans="1:3">
      <c r="A67" s="13" t="s">
        <v>327</v>
      </c>
      <c r="B67" s="14"/>
      <c r="C67" t="b">
        <f>IF(B67="Sim",(_xlfn.XLOOKUP('(misc) bot de cod mun'!A67,#REF!,#REF!)))</f>
        <v>0</v>
      </c>
    </row>
    <row r="68" spans="1:3">
      <c r="A68" s="11" t="s">
        <v>325</v>
      </c>
      <c r="B68" s="15"/>
      <c r="C68" t="b">
        <f>IF(B68="Sim",(_xlfn.XLOOKUP('(misc) bot de cod mun'!A68,#REF!,#REF!)))</f>
        <v>0</v>
      </c>
    </row>
    <row r="69" spans="1:3">
      <c r="A69" s="13" t="s">
        <v>333</v>
      </c>
      <c r="B69" s="12" t="s">
        <v>336</v>
      </c>
      <c r="C69" t="e">
        <f>IF(B69="Sim",(_xlfn.XLOOKUP('(misc) bot de cod mun'!A69,#REF!,#REF!)))</f>
        <v>#REF!</v>
      </c>
    </row>
    <row r="70" spans="1:3">
      <c r="A70" s="11" t="s">
        <v>317</v>
      </c>
      <c r="B70" s="12" t="s">
        <v>336</v>
      </c>
      <c r="C70" t="e">
        <f>IF(B70="Sim",(_xlfn.XLOOKUP('(misc) bot de cod mun'!A70,#REF!,#REF!)))</f>
        <v>#REF!</v>
      </c>
    </row>
    <row r="71" spans="1:3">
      <c r="A71" s="13" t="s">
        <v>332</v>
      </c>
      <c r="B71" s="14"/>
      <c r="C71" t="b">
        <f>IF(B71="Sim",(_xlfn.XLOOKUP('(misc) bot de cod mun'!A71,#REF!,#REF!)))</f>
        <v>0</v>
      </c>
    </row>
    <row r="72" spans="1:3">
      <c r="A72" s="11" t="s">
        <v>325</v>
      </c>
      <c r="B72" s="12" t="s">
        <v>336</v>
      </c>
      <c r="C72" t="e">
        <f>IF(B72="Sim",(_xlfn.XLOOKUP('(misc) bot de cod mun'!A72,#REF!,#REF!)))</f>
        <v>#REF!</v>
      </c>
    </row>
    <row r="73" spans="1:3">
      <c r="A73" s="13" t="s">
        <v>323</v>
      </c>
      <c r="B73" s="14"/>
      <c r="C73" t="b">
        <f>IF(B73="Sim",(_xlfn.XLOOKUP('(misc) bot de cod mun'!A73,#REF!,#REF!)))</f>
        <v>0</v>
      </c>
    </row>
    <row r="74" spans="1:3">
      <c r="A74" s="11" t="s">
        <v>328</v>
      </c>
      <c r="B74" s="15"/>
      <c r="C74" t="b">
        <f>IF(B74="Sim",(_xlfn.XLOOKUP('(misc) bot de cod mun'!A74,#REF!,#REF!)))</f>
        <v>0</v>
      </c>
    </row>
    <row r="75" spans="1:3">
      <c r="A75" s="13" t="s">
        <v>323</v>
      </c>
      <c r="B75" s="14"/>
      <c r="C75" t="b">
        <f>IF(B75="Sim",(_xlfn.XLOOKUP('(misc) bot de cod mun'!A75,#REF!,#REF!)))</f>
        <v>0</v>
      </c>
    </row>
    <row r="76" spans="1:3">
      <c r="A76" s="11" t="s">
        <v>323</v>
      </c>
      <c r="B76" s="15"/>
      <c r="C76" t="b">
        <f>IF(B76="Sim",(_xlfn.XLOOKUP('(misc) bot de cod mun'!A76,#REF!,#REF!)))</f>
        <v>0</v>
      </c>
    </row>
    <row r="77" spans="1:3">
      <c r="A77" s="13" t="s">
        <v>333</v>
      </c>
      <c r="B77" s="14"/>
      <c r="C77" t="b">
        <f>IF(B77="Sim",(_xlfn.XLOOKUP('(misc) bot de cod mun'!A77,#REF!,#REF!)))</f>
        <v>0</v>
      </c>
    </row>
    <row r="78" spans="1:3">
      <c r="A78" s="11" t="s">
        <v>324</v>
      </c>
      <c r="B78" s="15"/>
      <c r="C78" t="b">
        <f>IF(B78="Sim",(_xlfn.XLOOKUP('(misc) bot de cod mun'!A78,#REF!,#REF!)))</f>
        <v>0</v>
      </c>
    </row>
    <row r="79" spans="1:3">
      <c r="A79" s="13" t="s">
        <v>333</v>
      </c>
      <c r="B79" s="14"/>
      <c r="C79" t="b">
        <f>IF(B79="Sim",(_xlfn.XLOOKUP('(misc) bot de cod mun'!A79,#REF!,#REF!)))</f>
        <v>0</v>
      </c>
    </row>
    <row r="80" spans="1:3">
      <c r="A80" s="11" t="s">
        <v>333</v>
      </c>
      <c r="B80" s="15"/>
      <c r="C80" t="b">
        <f>IF(B80="Sim",(_xlfn.XLOOKUP('(misc) bot de cod mun'!A80,#REF!,#REF!)))</f>
        <v>0</v>
      </c>
    </row>
    <row r="81" spans="1:3">
      <c r="A81" s="13" t="s">
        <v>325</v>
      </c>
      <c r="B81" s="14"/>
      <c r="C81" t="b">
        <f>IF(B81="Sim",(_xlfn.XLOOKUP('(misc) bot de cod mun'!A81,#REF!,#REF!)))</f>
        <v>0</v>
      </c>
    </row>
    <row r="82" spans="1:3">
      <c r="A82" s="11" t="s">
        <v>333</v>
      </c>
      <c r="B82" s="15"/>
      <c r="C82" t="b">
        <f>IF(B82="Sim",(_xlfn.XLOOKUP('(misc) bot de cod mun'!A82,#REF!,#REF!)))</f>
        <v>0</v>
      </c>
    </row>
    <row r="83" spans="1:3">
      <c r="A83" s="13" t="s">
        <v>333</v>
      </c>
      <c r="B83" s="14"/>
      <c r="C83" t="b">
        <f>IF(B83="Sim",(_xlfn.XLOOKUP('(misc) bot de cod mun'!A83,#REF!,#REF!)))</f>
        <v>0</v>
      </c>
    </row>
    <row r="84" spans="1:3">
      <c r="A84" s="11" t="s">
        <v>322</v>
      </c>
      <c r="B84" s="15"/>
      <c r="C84" t="b">
        <f>IF(B84="Sim",(_xlfn.XLOOKUP('(misc) bot de cod mun'!A84,#REF!,#REF!)))</f>
        <v>0</v>
      </c>
    </row>
    <row r="85" spans="1:3">
      <c r="A85" s="13" t="s">
        <v>324</v>
      </c>
      <c r="B85" s="14"/>
      <c r="C85" t="b">
        <f>IF(B85="Sim",(_xlfn.XLOOKUP('(misc) bot de cod mun'!A85,#REF!,#REF!)))</f>
        <v>0</v>
      </c>
    </row>
    <row r="86" spans="1:3">
      <c r="A86" s="11" t="s">
        <v>333</v>
      </c>
      <c r="B86" s="15"/>
      <c r="C86" t="b">
        <f>IF(B86="Sim",(_xlfn.XLOOKUP('(misc) bot de cod mun'!A86,#REF!,#REF!)))</f>
        <v>0</v>
      </c>
    </row>
    <row r="87" spans="1:3">
      <c r="A87" s="13" t="s">
        <v>328</v>
      </c>
      <c r="B87" s="12" t="s">
        <v>336</v>
      </c>
      <c r="C87" t="e">
        <f>IF(B87="Sim",(_xlfn.XLOOKUP('(misc) bot de cod mun'!A87,#REF!,#REF!)))</f>
        <v>#REF!</v>
      </c>
    </row>
    <row r="88" spans="1:3">
      <c r="A88" s="11" t="s">
        <v>327</v>
      </c>
      <c r="B88" s="15"/>
      <c r="C88" t="b">
        <f>IF(B88="Sim",(_xlfn.XLOOKUP('(misc) bot de cod mun'!A88,#REF!,#REF!)))</f>
        <v>0</v>
      </c>
    </row>
    <row r="89" spans="1:3">
      <c r="A89" s="13" t="s">
        <v>329</v>
      </c>
      <c r="B89" s="14"/>
      <c r="C89" t="b">
        <f>IF(B89="Sim",(_xlfn.XLOOKUP('(misc) bot de cod mun'!A89,#REF!,#REF!)))</f>
        <v>0</v>
      </c>
    </row>
    <row r="90" spans="1:3">
      <c r="A90" s="11" t="s">
        <v>329</v>
      </c>
      <c r="B90" s="15"/>
      <c r="C90" t="b">
        <f>IF(B90="Sim",(_xlfn.XLOOKUP('(misc) bot de cod mun'!A90,#REF!,#REF!)))</f>
        <v>0</v>
      </c>
    </row>
    <row r="91" spans="1:3">
      <c r="A91" s="13" t="s">
        <v>322</v>
      </c>
      <c r="B91" s="14"/>
      <c r="C91" t="b">
        <f>IF(B91="Sim",(_xlfn.XLOOKUP('(misc) bot de cod mun'!A91,#REF!,#REF!)))</f>
        <v>0</v>
      </c>
    </row>
    <row r="92" spans="1:3">
      <c r="A92" s="11" t="s">
        <v>332</v>
      </c>
      <c r="B92" s="15"/>
      <c r="C92" t="b">
        <f>IF(B92="Sim",(_xlfn.XLOOKUP('(misc) bot de cod mun'!A92,#REF!,#REF!)))</f>
        <v>0</v>
      </c>
    </row>
    <row r="93" spans="1:3">
      <c r="A93" s="13" t="s">
        <v>325</v>
      </c>
      <c r="B93" s="12" t="s">
        <v>336</v>
      </c>
      <c r="C93" t="e">
        <f>IF(B93="Sim",(_xlfn.XLOOKUP('(misc) bot de cod mun'!A93,#REF!,#REF!)))</f>
        <v>#REF!</v>
      </c>
    </row>
    <row r="94" spans="1:3">
      <c r="A94" s="11" t="s">
        <v>328</v>
      </c>
      <c r="B94" s="15"/>
      <c r="C94" t="b">
        <f>IF(B94="Sim",(_xlfn.XLOOKUP('(misc) bot de cod mun'!A94,#REF!,#REF!)))</f>
        <v>0</v>
      </c>
    </row>
    <row r="95" spans="1:3">
      <c r="A95" s="13" t="s">
        <v>326</v>
      </c>
      <c r="B95" s="14"/>
      <c r="C95" t="b">
        <f>IF(B95="Sim",(_xlfn.XLOOKUP('(misc) bot de cod mun'!A95,#REF!,#REF!)))</f>
        <v>0</v>
      </c>
    </row>
    <row r="96" spans="1:3">
      <c r="A96" s="11" t="s">
        <v>316</v>
      </c>
      <c r="B96" s="12" t="s">
        <v>336</v>
      </c>
      <c r="C96" t="e">
        <f>IF(B96="Sim",(_xlfn.XLOOKUP('(misc) bot de cod mun'!A96,#REF!,#REF!)))</f>
        <v>#REF!</v>
      </c>
    </row>
    <row r="97" spans="1:3">
      <c r="A97" s="13" t="s">
        <v>331</v>
      </c>
      <c r="B97" s="14"/>
      <c r="C97" t="b">
        <f>IF(B97="Sim",(_xlfn.XLOOKUP('(misc) bot de cod mun'!A97,#REF!,#REF!)))</f>
        <v>0</v>
      </c>
    </row>
    <row r="98" spans="1:3">
      <c r="A98" s="11" t="s">
        <v>328</v>
      </c>
      <c r="B98" s="15"/>
      <c r="C98" t="b">
        <f>IF(B98="Sim",(_xlfn.XLOOKUP('(misc) bot de cod mun'!A98,#REF!,#REF!)))</f>
        <v>0</v>
      </c>
    </row>
    <row r="99" spans="1:3">
      <c r="A99" s="13" t="s">
        <v>325</v>
      </c>
      <c r="B99" s="14"/>
      <c r="C99" t="b">
        <f>IF(B99="Sim",(_xlfn.XLOOKUP('(misc) bot de cod mun'!A99,#REF!,#REF!)))</f>
        <v>0</v>
      </c>
    </row>
    <row r="100" spans="1:3">
      <c r="A100" s="11" t="s">
        <v>333</v>
      </c>
      <c r="B100" s="15"/>
      <c r="C100" t="b">
        <f>IF(B100="Sim",(_xlfn.XLOOKUP('(misc) bot de cod mun'!A100,#REF!,#REF!)))</f>
        <v>0</v>
      </c>
    </row>
    <row r="101" spans="1:3">
      <c r="A101" s="13" t="s">
        <v>324</v>
      </c>
      <c r="B101" s="14"/>
      <c r="C101" t="b">
        <f>IF(B101="Sim",(_xlfn.XLOOKUP('(misc) bot de cod mun'!A101,#REF!,#REF!)))</f>
        <v>0</v>
      </c>
    </row>
    <row r="102" spans="1:3">
      <c r="A102" s="11" t="s">
        <v>332</v>
      </c>
      <c r="B102" s="15"/>
      <c r="C102" t="b">
        <f>IF(B102="Sim",(_xlfn.XLOOKUP('(misc) bot de cod mun'!A102,#REF!,#REF!)))</f>
        <v>0</v>
      </c>
    </row>
    <row r="103" spans="1:3">
      <c r="A103" s="13" t="s">
        <v>332</v>
      </c>
      <c r="B103" s="14"/>
      <c r="C103" t="b">
        <f>IF(B103="Sim",(_xlfn.XLOOKUP('(misc) bot de cod mun'!A103,#REF!,#REF!)))</f>
        <v>0</v>
      </c>
    </row>
    <row r="104" spans="1:3">
      <c r="A104" s="11" t="s">
        <v>320</v>
      </c>
      <c r="B104" s="15"/>
      <c r="C104" t="b">
        <f>IF(B104="Sim",(_xlfn.XLOOKUP('(misc) bot de cod mun'!A104,#REF!,#REF!)))</f>
        <v>0</v>
      </c>
    </row>
    <row r="105" spans="1:3">
      <c r="A105" s="13" t="s">
        <v>331</v>
      </c>
      <c r="B105" s="14"/>
      <c r="C105" t="b">
        <f>IF(B105="Sim",(_xlfn.XLOOKUP('(misc) bot de cod mun'!A105,#REF!,#REF!)))</f>
        <v>0</v>
      </c>
    </row>
    <row r="106" spans="1:3">
      <c r="A106" s="11" t="s">
        <v>332</v>
      </c>
      <c r="B106" s="15"/>
      <c r="C106" t="b">
        <f>IF(B106="Sim",(_xlfn.XLOOKUP('(misc) bot de cod mun'!A106,#REF!,#REF!)))</f>
        <v>0</v>
      </c>
    </row>
    <row r="107" spans="1:3">
      <c r="A107" s="13" t="s">
        <v>332</v>
      </c>
      <c r="B107" s="14"/>
      <c r="C107" t="b">
        <f>IF(B107="Sim",(_xlfn.XLOOKUP('(misc) bot de cod mun'!A107,#REF!,#REF!)))</f>
        <v>0</v>
      </c>
    </row>
    <row r="108" spans="1:3">
      <c r="A108" s="11" t="s">
        <v>325</v>
      </c>
      <c r="B108" s="15"/>
      <c r="C108" t="b">
        <f>IF(B108="Sim",(_xlfn.XLOOKUP('(misc) bot de cod mun'!A108,#REF!,#REF!)))</f>
        <v>0</v>
      </c>
    </row>
    <row r="109" spans="1:3">
      <c r="A109" s="13" t="s">
        <v>332</v>
      </c>
      <c r="B109" s="14"/>
      <c r="C109" t="b">
        <f>IF(B109="Sim",(_xlfn.XLOOKUP('(misc) bot de cod mun'!A109,#REF!,#REF!)))</f>
        <v>0</v>
      </c>
    </row>
    <row r="110" spans="1:3">
      <c r="A110" s="11" t="s">
        <v>323</v>
      </c>
      <c r="B110" s="15"/>
      <c r="C110" t="b">
        <f>IF(B110="Sim",(_xlfn.XLOOKUP('(misc) bot de cod mun'!A110,#REF!,#REF!)))</f>
        <v>0</v>
      </c>
    </row>
    <row r="111" spans="1:3">
      <c r="A111" s="13" t="s">
        <v>324</v>
      </c>
      <c r="B111" s="14"/>
      <c r="C111" t="b">
        <f>IF(B111="Sim",(_xlfn.XLOOKUP('(misc) bot de cod mun'!A111,#REF!,#REF!)))</f>
        <v>0</v>
      </c>
    </row>
    <row r="112" spans="1:3">
      <c r="A112" s="11" t="s">
        <v>318</v>
      </c>
      <c r="B112" s="15"/>
      <c r="C112" t="b">
        <f>IF(B112="Sim",(_xlfn.XLOOKUP('(misc) bot de cod mun'!A112,#REF!,#REF!)))</f>
        <v>0</v>
      </c>
    </row>
    <row r="113" spans="1:3">
      <c r="A113" s="13" t="s">
        <v>324</v>
      </c>
      <c r="B113" s="14"/>
      <c r="C113" t="b">
        <f>IF(B113="Sim",(_xlfn.XLOOKUP('(misc) bot de cod mun'!A113,#REF!,#REF!)))</f>
        <v>0</v>
      </c>
    </row>
    <row r="114" spans="1:3">
      <c r="A114" s="11" t="s">
        <v>320</v>
      </c>
      <c r="B114" s="15"/>
      <c r="C114" t="b">
        <f>IF(B114="Sim",(_xlfn.XLOOKUP('(misc) bot de cod mun'!A114,#REF!,#REF!)))</f>
        <v>0</v>
      </c>
    </row>
    <row r="115" spans="1:3">
      <c r="A115" s="13" t="s">
        <v>324</v>
      </c>
      <c r="B115" s="14"/>
      <c r="C115" t="b">
        <f>IF(B115="Sim",(_xlfn.XLOOKUP('(misc) bot de cod mun'!A115,#REF!,#REF!)))</f>
        <v>0</v>
      </c>
    </row>
    <row r="116" spans="1:3">
      <c r="A116" s="11" t="s">
        <v>318</v>
      </c>
      <c r="B116" s="15"/>
      <c r="C116" t="b">
        <f>IF(B116="Sim",(_xlfn.XLOOKUP('(misc) bot de cod mun'!A116,#REF!,#REF!)))</f>
        <v>0</v>
      </c>
    </row>
    <row r="117" spans="1:3">
      <c r="A117" s="13" t="s">
        <v>330</v>
      </c>
      <c r="B117" s="14"/>
      <c r="C117" t="b">
        <f>IF(B117="Sim",(_xlfn.XLOOKUP('(misc) bot de cod mun'!A117,#REF!,#REF!)))</f>
        <v>0</v>
      </c>
    </row>
    <row r="118" spans="1:3">
      <c r="A118" s="11" t="s">
        <v>334</v>
      </c>
      <c r="B118" s="12" t="s">
        <v>336</v>
      </c>
      <c r="C118" t="e">
        <f>IF(B118="Sim",(_xlfn.XLOOKUP('(misc) bot de cod mun'!A118,#REF!,#REF!)))</f>
        <v>#REF!</v>
      </c>
    </row>
    <row r="119" spans="1:3">
      <c r="A119" s="13" t="s">
        <v>326</v>
      </c>
      <c r="B119" s="14"/>
      <c r="C119" t="b">
        <f>IF(B119="Sim",(_xlfn.XLOOKUP('(misc) bot de cod mun'!A119,#REF!,#REF!)))</f>
        <v>0</v>
      </c>
    </row>
    <row r="120" spans="1:3">
      <c r="A120" s="11" t="s">
        <v>318</v>
      </c>
      <c r="B120" s="15"/>
      <c r="C120" t="b">
        <f>IF(B120="Sim",(_xlfn.XLOOKUP('(misc) bot de cod mun'!A120,#REF!,#REF!)))</f>
        <v>0</v>
      </c>
    </row>
    <row r="121" spans="1:3">
      <c r="A121" s="13" t="s">
        <v>331</v>
      </c>
      <c r="B121" s="14"/>
      <c r="C121" t="b">
        <f>IF(B121="Sim",(_xlfn.XLOOKUP('(misc) bot de cod mun'!A121,#REF!,#REF!)))</f>
        <v>0</v>
      </c>
    </row>
    <row r="122" spans="1:3">
      <c r="A122" s="11" t="s">
        <v>326</v>
      </c>
      <c r="B122" s="15"/>
      <c r="C122" t="b">
        <f>IF(B122="Sim",(_xlfn.XLOOKUP('(misc) bot de cod mun'!A122,#REF!,#REF!)))</f>
        <v>0</v>
      </c>
    </row>
    <row r="123" spans="1:3">
      <c r="A123" s="13" t="s">
        <v>327</v>
      </c>
      <c r="B123" s="14"/>
      <c r="C123" t="b">
        <f>IF(B123="Sim",(_xlfn.XLOOKUP('(misc) bot de cod mun'!A123,#REF!,#REF!)))</f>
        <v>0</v>
      </c>
    </row>
    <row r="124" spans="1:3">
      <c r="A124" s="11" t="s">
        <v>322</v>
      </c>
      <c r="B124" s="15"/>
      <c r="C124" t="b">
        <f>IF(B124="Sim",(_xlfn.XLOOKUP('(misc) bot de cod mun'!A124,#REF!,#REF!)))</f>
        <v>0</v>
      </c>
    </row>
    <row r="125" spans="1:3">
      <c r="A125" s="13" t="s">
        <v>325</v>
      </c>
      <c r="B125" s="14"/>
      <c r="C125" t="b">
        <f>IF(B125="Sim",(_xlfn.XLOOKUP('(misc) bot de cod mun'!A125,#REF!,#REF!)))</f>
        <v>0</v>
      </c>
    </row>
    <row r="126" spans="1:3">
      <c r="A126" s="11" t="s">
        <v>329</v>
      </c>
      <c r="B126" s="15"/>
      <c r="C126" t="b">
        <f>IF(B126="Sim",(_xlfn.XLOOKUP('(misc) bot de cod mun'!A126,#REF!,#REF!)))</f>
        <v>0</v>
      </c>
    </row>
    <row r="127" spans="1:3">
      <c r="A127" s="13" t="s">
        <v>326</v>
      </c>
      <c r="B127" s="14"/>
      <c r="C127" t="b">
        <f>IF(B127="Sim",(_xlfn.XLOOKUP('(misc) bot de cod mun'!A127,#REF!,#REF!)))</f>
        <v>0</v>
      </c>
    </row>
    <row r="128" spans="1:3">
      <c r="A128" s="11" t="s">
        <v>323</v>
      </c>
      <c r="B128" s="15"/>
      <c r="C128" t="b">
        <f>IF(B128="Sim",(_xlfn.XLOOKUP('(misc) bot de cod mun'!A128,#REF!,#REF!)))</f>
        <v>0</v>
      </c>
    </row>
    <row r="129" spans="1:3">
      <c r="A129" s="13" t="s">
        <v>331</v>
      </c>
      <c r="B129" s="14"/>
      <c r="C129" t="b">
        <f>IF(B129="Sim",(_xlfn.XLOOKUP('(misc) bot de cod mun'!A129,#REF!,#REF!)))</f>
        <v>0</v>
      </c>
    </row>
    <row r="130" spans="1:3">
      <c r="A130" s="11" t="s">
        <v>324</v>
      </c>
      <c r="B130" s="15"/>
      <c r="C130" t="b">
        <f>IF(B130="Sim",(_xlfn.XLOOKUP('(misc) bot de cod mun'!A130,#REF!,#REF!)))</f>
        <v>0</v>
      </c>
    </row>
    <row r="131" spans="1:3">
      <c r="A131" s="13" t="s">
        <v>320</v>
      </c>
      <c r="B131" s="14"/>
      <c r="C131" t="b">
        <f>IF(B131="Sim",(_xlfn.XLOOKUP('(misc) bot de cod mun'!A131,#REF!,#REF!)))</f>
        <v>0</v>
      </c>
    </row>
    <row r="132" spans="1:3">
      <c r="A132" s="11" t="s">
        <v>330</v>
      </c>
      <c r="B132" s="15"/>
      <c r="C132" t="b">
        <f>IF(B132="Sim",(_xlfn.XLOOKUP('(misc) bot de cod mun'!A132,#REF!,#REF!)))</f>
        <v>0</v>
      </c>
    </row>
    <row r="133" spans="1:3">
      <c r="A133" s="13" t="s">
        <v>319</v>
      </c>
      <c r="B133" s="14"/>
      <c r="C133" t="b">
        <f>IF(B133="Sim",(_xlfn.XLOOKUP('(misc) bot de cod mun'!A133,#REF!,#REF!)))</f>
        <v>0</v>
      </c>
    </row>
    <row r="134" spans="1:3">
      <c r="A134" s="11" t="s">
        <v>330</v>
      </c>
      <c r="B134" s="15"/>
      <c r="C134" t="b">
        <f>IF(B134="Sim",(_xlfn.XLOOKUP('(misc) bot de cod mun'!A134,#REF!,#REF!)))</f>
        <v>0</v>
      </c>
    </row>
    <row r="135" spans="1:3">
      <c r="A135" s="13" t="s">
        <v>331</v>
      </c>
      <c r="B135" s="14"/>
      <c r="C135" t="b">
        <f>IF(B135="Sim",(_xlfn.XLOOKUP('(misc) bot de cod mun'!A135,#REF!,#REF!)))</f>
        <v>0</v>
      </c>
    </row>
    <row r="136" spans="1:3">
      <c r="A136" s="11" t="s">
        <v>334</v>
      </c>
      <c r="B136" s="12" t="s">
        <v>336</v>
      </c>
      <c r="C136" t="e">
        <f>IF(B136="Sim",(_xlfn.XLOOKUP('(misc) bot de cod mun'!A136,#REF!,#REF!)))</f>
        <v>#REF!</v>
      </c>
    </row>
    <row r="137" spans="1:3">
      <c r="A137" s="13" t="s">
        <v>331</v>
      </c>
      <c r="B137" s="14"/>
      <c r="C137" t="b">
        <f>IF(B137="Sim",(_xlfn.XLOOKUP('(misc) bot de cod mun'!A137,#REF!,#REF!)))</f>
        <v>0</v>
      </c>
    </row>
    <row r="138" spans="1:3">
      <c r="A138" s="11" t="s">
        <v>331</v>
      </c>
      <c r="B138" s="12" t="s">
        <v>336</v>
      </c>
      <c r="C138" t="e">
        <f>IF(B138="Sim",(_xlfn.XLOOKUP('(misc) bot de cod mun'!A138,#REF!,#REF!)))</f>
        <v>#REF!</v>
      </c>
    </row>
    <row r="139" spans="1:3">
      <c r="A139" s="13" t="s">
        <v>318</v>
      </c>
      <c r="B139" s="14"/>
      <c r="C139" t="b">
        <f>IF(B139="Sim",(_xlfn.XLOOKUP('(misc) bot de cod mun'!A139,#REF!,#REF!)))</f>
        <v>0</v>
      </c>
    </row>
    <row r="140" spans="1:3">
      <c r="A140" s="11" t="s">
        <v>320</v>
      </c>
      <c r="B140" s="15"/>
      <c r="C140" t="b">
        <f>IF(B140="Sim",(_xlfn.XLOOKUP('(misc) bot de cod mun'!A140,#REF!,#REF!)))</f>
        <v>0</v>
      </c>
    </row>
    <row r="141" spans="1:3">
      <c r="A141" s="13" t="s">
        <v>332</v>
      </c>
      <c r="B141" s="14"/>
      <c r="C141" t="b">
        <f>IF(B141="Sim",(_xlfn.XLOOKUP('(misc) bot de cod mun'!A141,#REF!,#REF!)))</f>
        <v>0</v>
      </c>
    </row>
    <row r="142" spans="1:3">
      <c r="A142" s="11" t="s">
        <v>327</v>
      </c>
      <c r="B142" s="15"/>
      <c r="C142" t="b">
        <f>IF(B142="Sim",(_xlfn.XLOOKUP('(misc) bot de cod mun'!A142,#REF!,#REF!)))</f>
        <v>0</v>
      </c>
    </row>
    <row r="143" spans="1:3">
      <c r="A143" s="13" t="s">
        <v>330</v>
      </c>
      <c r="B143" s="14"/>
      <c r="C143" t="b">
        <f>IF(B143="Sim",(_xlfn.XLOOKUP('(misc) bot de cod mun'!A143,#REF!,#REF!)))</f>
        <v>0</v>
      </c>
    </row>
    <row r="144" spans="1:3">
      <c r="A144" s="11" t="s">
        <v>327</v>
      </c>
      <c r="B144" s="15"/>
      <c r="C144" t="b">
        <f>IF(B144="Sim",(_xlfn.XLOOKUP('(misc) bot de cod mun'!A144,#REF!,#REF!)))</f>
        <v>0</v>
      </c>
    </row>
    <row r="145" spans="1:3">
      <c r="A145" s="13" t="s">
        <v>321</v>
      </c>
      <c r="B145" s="12" t="s">
        <v>336</v>
      </c>
      <c r="C145" t="e">
        <f>IF(B145="Sim",(_xlfn.XLOOKUP('(misc) bot de cod mun'!A145,#REF!,#REF!)))</f>
        <v>#REF!</v>
      </c>
    </row>
    <row r="146" spans="1:3">
      <c r="A146" s="11" t="s">
        <v>322</v>
      </c>
      <c r="B146" s="15"/>
      <c r="C146" t="b">
        <f>IF(B146="Sim",(_xlfn.XLOOKUP('(misc) bot de cod mun'!A146,#REF!,#REF!)))</f>
        <v>0</v>
      </c>
    </row>
    <row r="147" spans="1:3">
      <c r="A147" s="13" t="s">
        <v>327</v>
      </c>
      <c r="B147" s="12" t="s">
        <v>336</v>
      </c>
      <c r="C147" t="e">
        <f>IF(B147="Sim",(_xlfn.XLOOKUP('(misc) bot de cod mun'!A147,#REF!,#REF!)))</f>
        <v>#REF!</v>
      </c>
    </row>
    <row r="148" spans="1:3">
      <c r="A148" s="11" t="s">
        <v>322</v>
      </c>
      <c r="B148" s="15"/>
      <c r="C148" t="b">
        <f>IF(B148="Sim",(_xlfn.XLOOKUP('(misc) bot de cod mun'!A148,#REF!,#REF!)))</f>
        <v>0</v>
      </c>
    </row>
    <row r="149" spans="1:3">
      <c r="A149" s="13" t="s">
        <v>326</v>
      </c>
      <c r="B149" s="14"/>
      <c r="C149" t="b">
        <f>IF(B149="Sim",(_xlfn.XLOOKUP('(misc) bot de cod mun'!A149,#REF!,#REF!)))</f>
        <v>0</v>
      </c>
    </row>
    <row r="150" spans="1:3">
      <c r="A150" s="11" t="s">
        <v>332</v>
      </c>
      <c r="B150" s="15"/>
      <c r="C150" t="b">
        <f>IF(B150="Sim",(_xlfn.XLOOKUP('(misc) bot de cod mun'!A150,#REF!,#REF!)))</f>
        <v>0</v>
      </c>
    </row>
    <row r="151" spans="1:3">
      <c r="A151" s="13" t="s">
        <v>325</v>
      </c>
      <c r="B151" s="12" t="s">
        <v>336</v>
      </c>
      <c r="C151" t="e">
        <f>IF(B151="Sim",(_xlfn.XLOOKUP('(misc) bot de cod mun'!A151,#REF!,#REF!)))</f>
        <v>#REF!</v>
      </c>
    </row>
    <row r="152" spans="1:3">
      <c r="A152" s="11" t="s">
        <v>327</v>
      </c>
      <c r="B152" s="15"/>
      <c r="C152" t="b">
        <f>IF(B152="Sim",(_xlfn.XLOOKUP('(misc) bot de cod mun'!A152,#REF!,#REF!)))</f>
        <v>0</v>
      </c>
    </row>
    <row r="153" spans="1:3">
      <c r="A153" s="13" t="s">
        <v>333</v>
      </c>
      <c r="B153" s="12" t="s">
        <v>336</v>
      </c>
      <c r="C153" t="e">
        <f>IF(B153="Sim",(_xlfn.XLOOKUP('(misc) bot de cod mun'!A153,#REF!,#REF!)))</f>
        <v>#REF!</v>
      </c>
    </row>
    <row r="154" spans="1:3">
      <c r="A154" s="11" t="s">
        <v>329</v>
      </c>
      <c r="B154" s="15"/>
      <c r="C154" t="b">
        <f>IF(B154="Sim",(_xlfn.XLOOKUP('(misc) bot de cod mun'!A154,#REF!,#REF!)))</f>
        <v>0</v>
      </c>
    </row>
    <row r="155" spans="1:3">
      <c r="A155" s="13" t="s">
        <v>324</v>
      </c>
      <c r="B155" s="14"/>
      <c r="C155" t="b">
        <f>IF(B155="Sim",(_xlfn.XLOOKUP('(misc) bot de cod mun'!A155,#REF!,#REF!)))</f>
        <v>0</v>
      </c>
    </row>
    <row r="156" spans="1:3">
      <c r="A156" s="11" t="s">
        <v>327</v>
      </c>
      <c r="B156" s="15"/>
      <c r="C156" t="b">
        <f>IF(B156="Sim",(_xlfn.XLOOKUP('(misc) bot de cod mun'!A156,#REF!,#REF!)))</f>
        <v>0</v>
      </c>
    </row>
    <row r="157" spans="1:3">
      <c r="A157" s="13" t="s">
        <v>326</v>
      </c>
      <c r="B157" s="14"/>
      <c r="C157" t="b">
        <f>IF(B157="Sim",(_xlfn.XLOOKUP('(misc) bot de cod mun'!A157,#REF!,#REF!)))</f>
        <v>0</v>
      </c>
    </row>
    <row r="158" spans="1:3">
      <c r="A158" s="11" t="s">
        <v>329</v>
      </c>
      <c r="B158" s="15"/>
      <c r="C158" t="b">
        <f>IF(B158="Sim",(_xlfn.XLOOKUP('(misc) bot de cod mun'!A158,#REF!,#REF!)))</f>
        <v>0</v>
      </c>
    </row>
    <row r="159" spans="1:3">
      <c r="A159" s="13" t="s">
        <v>319</v>
      </c>
      <c r="B159" s="14"/>
      <c r="C159" t="b">
        <f>IF(B159="Sim",(_xlfn.XLOOKUP('(misc) bot de cod mun'!A159,#REF!,#REF!)))</f>
        <v>0</v>
      </c>
    </row>
    <row r="160" spans="1:3">
      <c r="A160" s="11" t="s">
        <v>323</v>
      </c>
      <c r="B160" s="15"/>
      <c r="C160" t="b">
        <f>IF(B160="Sim",(_xlfn.XLOOKUP('(misc) bot de cod mun'!A160,#REF!,#REF!)))</f>
        <v>0</v>
      </c>
    </row>
    <row r="161" spans="1:3">
      <c r="A161" s="13" t="s">
        <v>325</v>
      </c>
      <c r="B161" s="14"/>
      <c r="C161" t="b">
        <f>IF(B161="Sim",(_xlfn.XLOOKUP('(misc) bot de cod mun'!A161,#REF!,#REF!)))</f>
        <v>0</v>
      </c>
    </row>
    <row r="162" spans="1:3">
      <c r="A162" s="11" t="s">
        <v>329</v>
      </c>
      <c r="B162" s="15"/>
      <c r="C162" t="b">
        <f>IF(B162="Sim",(_xlfn.XLOOKUP('(misc) bot de cod mun'!A162,#REF!,#REF!)))</f>
        <v>0</v>
      </c>
    </row>
    <row r="163" spans="1:3">
      <c r="A163" s="13" t="s">
        <v>323</v>
      </c>
      <c r="B163" s="14"/>
      <c r="C163" t="b">
        <f>IF(B163="Sim",(_xlfn.XLOOKUP('(misc) bot de cod mun'!A163,#REF!,#REF!)))</f>
        <v>0</v>
      </c>
    </row>
    <row r="164" spans="1:3">
      <c r="A164" s="11" t="s">
        <v>333</v>
      </c>
      <c r="B164" s="15"/>
      <c r="C164" t="b">
        <f>IF(B164="Sim",(_xlfn.XLOOKUP('(misc) bot de cod mun'!A164,#REF!,#REF!)))</f>
        <v>0</v>
      </c>
    </row>
    <row r="165" spans="1:3">
      <c r="A165" s="13" t="s">
        <v>327</v>
      </c>
      <c r="B165" s="14"/>
      <c r="C165" t="b">
        <f>IF(B165="Sim",(_xlfn.XLOOKUP('(misc) bot de cod mun'!A165,#REF!,#REF!)))</f>
        <v>0</v>
      </c>
    </row>
    <row r="166" spans="1:3">
      <c r="A166" s="11" t="s">
        <v>322</v>
      </c>
      <c r="B166" s="15"/>
      <c r="C166" t="b">
        <f>IF(B166="Sim",(_xlfn.XLOOKUP('(misc) bot de cod mun'!A166,#REF!,#REF!)))</f>
        <v>0</v>
      </c>
    </row>
    <row r="167" spans="1:3">
      <c r="A167" s="13" t="s">
        <v>322</v>
      </c>
      <c r="B167" s="14"/>
      <c r="C167" t="b">
        <f>IF(B167="Sim",(_xlfn.XLOOKUP('(misc) bot de cod mun'!A167,#REF!,#REF!)))</f>
        <v>0</v>
      </c>
    </row>
    <row r="168" spans="1:3">
      <c r="A168" s="11" t="s">
        <v>324</v>
      </c>
      <c r="B168" s="15"/>
      <c r="C168" t="b">
        <f>IF(B168="Sim",(_xlfn.XLOOKUP('(misc) bot de cod mun'!A168,#REF!,#REF!)))</f>
        <v>0</v>
      </c>
    </row>
    <row r="169" spans="1:3">
      <c r="A169" s="13" t="s">
        <v>318</v>
      </c>
      <c r="B169" s="14"/>
      <c r="C169" t="b">
        <f>IF(B169="Sim",(_xlfn.XLOOKUP('(misc) bot de cod mun'!A169,#REF!,#REF!)))</f>
        <v>0</v>
      </c>
    </row>
    <row r="170" spans="1:3">
      <c r="A170" s="11" t="s">
        <v>329</v>
      </c>
      <c r="B170" s="12" t="s">
        <v>336</v>
      </c>
      <c r="C170" t="e">
        <f>IF(B170="Sim",(_xlfn.XLOOKUP('(misc) bot de cod mun'!A170,#REF!,#REF!)))</f>
        <v>#REF!</v>
      </c>
    </row>
    <row r="171" spans="1:3">
      <c r="A171" s="13" t="s">
        <v>318</v>
      </c>
      <c r="B171" s="14"/>
      <c r="C171" t="b">
        <f>IF(B171="Sim",(_xlfn.XLOOKUP('(misc) bot de cod mun'!A171,#REF!,#REF!)))</f>
        <v>0</v>
      </c>
    </row>
    <row r="172" spans="1:3">
      <c r="A172" s="11" t="s">
        <v>329</v>
      </c>
      <c r="B172" s="15"/>
      <c r="C172" t="b">
        <f>IF(B172="Sim",(_xlfn.XLOOKUP('(misc) bot de cod mun'!A172,#REF!,#REF!)))</f>
        <v>0</v>
      </c>
    </row>
    <row r="173" spans="1:3">
      <c r="A173" s="13" t="s">
        <v>333</v>
      </c>
      <c r="B173" s="14"/>
      <c r="C173" t="b">
        <f>IF(B173="Sim",(_xlfn.XLOOKUP('(misc) bot de cod mun'!A173,#REF!,#REF!)))</f>
        <v>0</v>
      </c>
    </row>
    <row r="174" spans="1:3">
      <c r="A174" s="11" t="s">
        <v>326</v>
      </c>
      <c r="B174" s="15"/>
      <c r="C174" t="b">
        <f>IF(B174="Sim",(_xlfn.XLOOKUP('(misc) bot de cod mun'!A174,#REF!,#REF!)))</f>
        <v>0</v>
      </c>
    </row>
    <row r="175" spans="1:3">
      <c r="A175" s="13" t="s">
        <v>330</v>
      </c>
      <c r="B175" s="14"/>
      <c r="C175" t="b">
        <f>IF(B175="Sim",(_xlfn.XLOOKUP('(misc) bot de cod mun'!A175,#REF!,#REF!)))</f>
        <v>0</v>
      </c>
    </row>
    <row r="176" spans="1:3">
      <c r="A176" s="11" t="s">
        <v>318</v>
      </c>
      <c r="B176" s="15"/>
      <c r="C176" t="b">
        <f>IF(B176="Sim",(_xlfn.XLOOKUP('(misc) bot de cod mun'!A176,#REF!,#REF!)))</f>
        <v>0</v>
      </c>
    </row>
    <row r="177" spans="1:3">
      <c r="A177" s="13" t="s">
        <v>331</v>
      </c>
      <c r="B177" s="14"/>
      <c r="C177" t="b">
        <f>IF(B177="Sim",(_xlfn.XLOOKUP('(misc) bot de cod mun'!A177,#REF!,#REF!)))</f>
        <v>0</v>
      </c>
    </row>
    <row r="178" spans="1:3">
      <c r="A178" s="11" t="s">
        <v>333</v>
      </c>
      <c r="B178" s="12" t="s">
        <v>336</v>
      </c>
      <c r="C178" t="e">
        <f>IF(B178="Sim",(_xlfn.XLOOKUP('(misc) bot de cod mun'!A178,#REF!,#REF!)))</f>
        <v>#REF!</v>
      </c>
    </row>
    <row r="179" spans="1:3">
      <c r="A179" s="13" t="s">
        <v>323</v>
      </c>
      <c r="B179" s="14"/>
      <c r="C179" t="b">
        <f>IF(B179="Sim",(_xlfn.XLOOKUP('(misc) bot de cod mun'!A179,#REF!,#REF!)))</f>
        <v>0</v>
      </c>
    </row>
    <row r="180" spans="1:3">
      <c r="A180" s="11" t="s">
        <v>316</v>
      </c>
      <c r="B180" s="15"/>
      <c r="C180" t="b">
        <f>IF(B180="Sim",(_xlfn.XLOOKUP('(misc) bot de cod mun'!A180,#REF!,#REF!)))</f>
        <v>0</v>
      </c>
    </row>
    <row r="181" spans="1:3">
      <c r="A181" s="13" t="s">
        <v>334</v>
      </c>
      <c r="B181" s="12" t="s">
        <v>336</v>
      </c>
      <c r="C181" t="e">
        <f>IF(B181="Sim",(_xlfn.XLOOKUP('(misc) bot de cod mun'!A181,#REF!,#REF!)))</f>
        <v>#REF!</v>
      </c>
    </row>
    <row r="182" spans="1:3">
      <c r="A182" s="11" t="s">
        <v>330</v>
      </c>
      <c r="B182" s="15"/>
      <c r="C182" t="b">
        <f>IF(B182="Sim",(_xlfn.XLOOKUP('(misc) bot de cod mun'!A182,#REF!,#REF!)))</f>
        <v>0</v>
      </c>
    </row>
    <row r="183" spans="1:3">
      <c r="A183" s="13" t="s">
        <v>322</v>
      </c>
      <c r="B183" s="14"/>
      <c r="C183" t="b">
        <f>IF(B183="Sim",(_xlfn.XLOOKUP('(misc) bot de cod mun'!A183,#REF!,#REF!)))</f>
        <v>0</v>
      </c>
    </row>
    <row r="184" spans="1:3">
      <c r="A184" s="11" t="s">
        <v>325</v>
      </c>
      <c r="B184" s="15"/>
      <c r="C184" t="b">
        <f>IF(B184="Sim",(_xlfn.XLOOKUP('(misc) bot de cod mun'!A184,#REF!,#REF!)))</f>
        <v>0</v>
      </c>
    </row>
    <row r="185" spans="1:3">
      <c r="A185" s="13" t="s">
        <v>317</v>
      </c>
      <c r="B185" s="14"/>
      <c r="C185" t="b">
        <f>IF(B185="Sim",(_xlfn.XLOOKUP('(misc) bot de cod mun'!A185,#REF!,#REF!)))</f>
        <v>0</v>
      </c>
    </row>
    <row r="186" spans="1:3">
      <c r="A186" s="11" t="s">
        <v>331</v>
      </c>
      <c r="B186" s="12" t="s">
        <v>336</v>
      </c>
      <c r="C186" t="e">
        <f>IF(B186="Sim",(_xlfn.XLOOKUP('(misc) bot de cod mun'!A186,#REF!,#REF!)))</f>
        <v>#REF!</v>
      </c>
    </row>
    <row r="187" spans="1:3">
      <c r="A187" s="13" t="s">
        <v>319</v>
      </c>
      <c r="B187" s="12" t="s">
        <v>336</v>
      </c>
      <c r="C187" t="e">
        <f>IF(B187="Sim",(_xlfn.XLOOKUP('(misc) bot de cod mun'!A187,#REF!,#REF!)))</f>
        <v>#REF!</v>
      </c>
    </row>
    <row r="188" spans="1:3">
      <c r="A188" s="11" t="s">
        <v>333</v>
      </c>
      <c r="B188" s="15"/>
      <c r="C188" t="b">
        <f>IF(B188="Sim",(_xlfn.XLOOKUP('(misc) bot de cod mun'!A188,#REF!,#REF!)))</f>
        <v>0</v>
      </c>
    </row>
    <row r="189" spans="1:3">
      <c r="A189" s="13" t="s">
        <v>319</v>
      </c>
      <c r="B189" s="12" t="s">
        <v>336</v>
      </c>
      <c r="C189" t="e">
        <f>IF(B189="Sim",(_xlfn.XLOOKUP('(misc) bot de cod mun'!A189,#REF!,#REF!)))</f>
        <v>#REF!</v>
      </c>
    </row>
    <row r="190" spans="1:3">
      <c r="A190" s="11" t="s">
        <v>320</v>
      </c>
      <c r="B190" s="15"/>
      <c r="C190" t="b">
        <f>IF(B190="Sim",(_xlfn.XLOOKUP('(misc) bot de cod mun'!A190,#REF!,#REF!)))</f>
        <v>0</v>
      </c>
    </row>
    <row r="191" spans="1:3">
      <c r="A191" s="13" t="s">
        <v>321</v>
      </c>
      <c r="B191" s="14"/>
      <c r="C191" t="b">
        <f>IF(B191="Sim",(_xlfn.XLOOKUP('(misc) bot de cod mun'!A191,#REF!,#REF!)))</f>
        <v>0</v>
      </c>
    </row>
    <row r="192" spans="1:3">
      <c r="A192" s="11" t="s">
        <v>316</v>
      </c>
      <c r="B192" s="12" t="s">
        <v>336</v>
      </c>
      <c r="C192" t="e">
        <f>IF(B192="Sim",(_xlfn.XLOOKUP('(misc) bot de cod mun'!A192,#REF!,#REF!)))</f>
        <v>#REF!</v>
      </c>
    </row>
    <row r="193" spans="1:3">
      <c r="A193" s="13" t="s">
        <v>323</v>
      </c>
      <c r="B193" s="14"/>
      <c r="C193" t="b">
        <f>IF(B193="Sim",(_xlfn.XLOOKUP('(misc) bot de cod mun'!A193,#REF!,#REF!)))</f>
        <v>0</v>
      </c>
    </row>
    <row r="194" spans="1:3">
      <c r="A194" s="11" t="s">
        <v>323</v>
      </c>
      <c r="B194" s="12" t="s">
        <v>336</v>
      </c>
      <c r="C194" t="e">
        <f>IF(B194="Sim",(_xlfn.XLOOKUP('(misc) bot de cod mun'!A194,#REF!,#REF!)))</f>
        <v>#REF!</v>
      </c>
    </row>
    <row r="195" spans="1:3">
      <c r="A195" s="13" t="s">
        <v>332</v>
      </c>
      <c r="B195" s="14"/>
      <c r="C195" t="b">
        <f>IF(B195="Sim",(_xlfn.XLOOKUP('(misc) bot de cod mun'!A195,#REF!,#REF!)))</f>
        <v>0</v>
      </c>
    </row>
    <row r="196" spans="1:3">
      <c r="A196" s="11" t="s">
        <v>332</v>
      </c>
      <c r="B196" s="15"/>
      <c r="C196" t="b">
        <f>IF(B196="Sim",(_xlfn.XLOOKUP('(misc) bot de cod mun'!A196,#REF!,#REF!)))</f>
        <v>0</v>
      </c>
    </row>
    <row r="197" spans="1:3">
      <c r="A197" s="13" t="s">
        <v>330</v>
      </c>
      <c r="B197" s="14"/>
      <c r="C197" t="b">
        <f>IF(B197="Sim",(_xlfn.XLOOKUP('(misc) bot de cod mun'!A197,#REF!,#REF!)))</f>
        <v>0</v>
      </c>
    </row>
    <row r="198" spans="1:3">
      <c r="A198" s="11" t="s">
        <v>322</v>
      </c>
      <c r="B198" s="15"/>
      <c r="C198" t="b">
        <f>IF(B198="Sim",(_xlfn.XLOOKUP('(misc) bot de cod mun'!A198,#REF!,#REF!)))</f>
        <v>0</v>
      </c>
    </row>
    <row r="199" spans="1:3">
      <c r="A199" s="13" t="s">
        <v>333</v>
      </c>
      <c r="B199" s="14"/>
      <c r="C199" t="b">
        <f>IF(B199="Sim",(_xlfn.XLOOKUP('(misc) bot de cod mun'!A199,#REF!,#REF!)))</f>
        <v>0</v>
      </c>
    </row>
    <row r="200" spans="1:3">
      <c r="A200" s="11" t="s">
        <v>325</v>
      </c>
      <c r="B200" s="15"/>
      <c r="C200" t="b">
        <f>IF(B200="Sim",(_xlfn.XLOOKUP('(misc) bot de cod mun'!A200,#REF!,#REF!)))</f>
        <v>0</v>
      </c>
    </row>
    <row r="201" spans="1:3">
      <c r="A201" s="13" t="s">
        <v>327</v>
      </c>
      <c r="B201" s="14"/>
      <c r="C201" t="b">
        <f>IF(B201="Sim",(_xlfn.XLOOKUP('(misc) bot de cod mun'!A201,#REF!,#REF!)))</f>
        <v>0</v>
      </c>
    </row>
    <row r="202" spans="1:3">
      <c r="A202" s="11" t="s">
        <v>325</v>
      </c>
      <c r="B202" s="12" t="s">
        <v>336</v>
      </c>
      <c r="C202" t="e">
        <f>IF(B202="Sim",(_xlfn.XLOOKUP('(misc) bot de cod mun'!A202,#REF!,#REF!)))</f>
        <v>#REF!</v>
      </c>
    </row>
    <row r="203" spans="1:3">
      <c r="A203" s="13" t="s">
        <v>331</v>
      </c>
      <c r="B203" s="14"/>
      <c r="C203" t="b">
        <f>IF(B203="Sim",(_xlfn.XLOOKUP('(misc) bot de cod mun'!A203,#REF!,#REF!)))</f>
        <v>0</v>
      </c>
    </row>
    <row r="204" spans="1:3">
      <c r="A204" s="11" t="s">
        <v>331</v>
      </c>
      <c r="B204" s="15"/>
      <c r="C204" t="b">
        <f>IF(B204="Sim",(_xlfn.XLOOKUP('(misc) bot de cod mun'!A204,#REF!,#REF!)))</f>
        <v>0</v>
      </c>
    </row>
    <row r="205" spans="1:3">
      <c r="A205" s="13" t="s">
        <v>323</v>
      </c>
      <c r="B205" s="14"/>
      <c r="C205" t="b">
        <f>IF(B205="Sim",(_xlfn.XLOOKUP('(misc) bot de cod mun'!A205,#REF!,#REF!)))</f>
        <v>0</v>
      </c>
    </row>
    <row r="206" spans="1:3">
      <c r="A206" s="11" t="s">
        <v>321</v>
      </c>
      <c r="B206" s="12" t="s">
        <v>336</v>
      </c>
      <c r="C206" t="e">
        <f>IF(B206="Sim",(_xlfn.XLOOKUP('(misc) bot de cod mun'!A206,#REF!,#REF!)))</f>
        <v>#REF!</v>
      </c>
    </row>
    <row r="207" spans="1:3">
      <c r="A207" s="13" t="s">
        <v>334</v>
      </c>
      <c r="B207" s="12" t="s">
        <v>336</v>
      </c>
      <c r="C207" t="e">
        <f>IF(B207="Sim",(_xlfn.XLOOKUP('(misc) bot de cod mun'!A207,#REF!,#REF!)))</f>
        <v>#REF!</v>
      </c>
    </row>
    <row r="208" spans="1:3">
      <c r="A208" s="11" t="s">
        <v>332</v>
      </c>
      <c r="B208" s="15"/>
      <c r="C208" t="b">
        <f>IF(B208="Sim",(_xlfn.XLOOKUP('(misc) bot de cod mun'!A208,#REF!,#REF!)))</f>
        <v>0</v>
      </c>
    </row>
    <row r="209" spans="1:3">
      <c r="A209" s="13" t="s">
        <v>322</v>
      </c>
      <c r="B209" s="14"/>
      <c r="C209" t="b">
        <f>IF(B209="Sim",(_xlfn.XLOOKUP('(misc) bot de cod mun'!A209,#REF!,#REF!)))</f>
        <v>0</v>
      </c>
    </row>
    <row r="210" spans="1:3">
      <c r="A210" s="11" t="s">
        <v>333</v>
      </c>
      <c r="B210" s="12" t="s">
        <v>336</v>
      </c>
      <c r="C210" t="e">
        <f>IF(B210="Sim",(_xlfn.XLOOKUP('(misc) bot de cod mun'!A210,#REF!,#REF!)))</f>
        <v>#REF!</v>
      </c>
    </row>
    <row r="211" spans="1:3">
      <c r="A211" s="13" t="s">
        <v>327</v>
      </c>
      <c r="B211" s="14"/>
      <c r="C211" t="b">
        <f>IF(B211="Sim",(_xlfn.XLOOKUP('(misc) bot de cod mun'!A211,#REF!,#REF!)))</f>
        <v>0</v>
      </c>
    </row>
    <row r="212" spans="1:3">
      <c r="A212" s="11" t="s">
        <v>327</v>
      </c>
      <c r="B212" s="15"/>
      <c r="C212" t="b">
        <f>IF(B212="Sim",(_xlfn.XLOOKUP('(misc) bot de cod mun'!A212,#REF!,#REF!)))</f>
        <v>0</v>
      </c>
    </row>
    <row r="213" spans="1:3">
      <c r="A213" s="13" t="s">
        <v>318</v>
      </c>
      <c r="B213" s="14"/>
      <c r="C213" t="b">
        <f>IF(B213="Sim",(_xlfn.XLOOKUP('(misc) bot de cod mun'!A213,#REF!,#REF!)))</f>
        <v>0</v>
      </c>
    </row>
    <row r="214" spans="1:3">
      <c r="A214" s="11" t="s">
        <v>326</v>
      </c>
      <c r="B214" s="15"/>
      <c r="C214" t="b">
        <f>IF(B214="Sim",(_xlfn.XLOOKUP('(misc) bot de cod mun'!A214,#REF!,#REF!)))</f>
        <v>0</v>
      </c>
    </row>
    <row r="215" spans="1:3">
      <c r="A215" s="13" t="s">
        <v>326</v>
      </c>
      <c r="B215" s="14"/>
      <c r="C215" t="b">
        <f>IF(B215="Sim",(_xlfn.XLOOKUP('(misc) bot de cod mun'!A215,#REF!,#REF!)))</f>
        <v>0</v>
      </c>
    </row>
    <row r="216" spans="1:3">
      <c r="A216" s="11" t="s">
        <v>330</v>
      </c>
      <c r="B216" s="15"/>
      <c r="C216" t="b">
        <f>IF(B216="Sim",(_xlfn.XLOOKUP('(misc) bot de cod mun'!A216,#REF!,#REF!)))</f>
        <v>0</v>
      </c>
    </row>
    <row r="217" spans="1:3">
      <c r="A217" s="13" t="s">
        <v>316</v>
      </c>
      <c r="B217" s="12" t="s">
        <v>336</v>
      </c>
      <c r="C217" t="e">
        <f>IF(B217="Sim",(_xlfn.XLOOKUP('(misc) bot de cod mun'!A217,#REF!,#REF!)))</f>
        <v>#REF!</v>
      </c>
    </row>
    <row r="218" spans="1:3">
      <c r="A218" s="11" t="s">
        <v>326</v>
      </c>
      <c r="B218" s="15"/>
      <c r="C218" t="b">
        <f>IF(B218="Sim",(_xlfn.XLOOKUP('(misc) bot de cod mun'!A218,#REF!,#REF!)))</f>
        <v>0</v>
      </c>
    </row>
    <row r="219" spans="1:3">
      <c r="A219" s="13" t="s">
        <v>320</v>
      </c>
      <c r="B219" s="14"/>
      <c r="C219" t="b">
        <f>IF(B219="Sim",(_xlfn.XLOOKUP('(misc) bot de cod mun'!A219,#REF!,#REF!)))</f>
        <v>0</v>
      </c>
    </row>
    <row r="220" spans="1:3">
      <c r="A220" s="11" t="s">
        <v>324</v>
      </c>
      <c r="B220" s="15"/>
      <c r="C220" t="b">
        <f>IF(B220="Sim",(_xlfn.XLOOKUP('(misc) bot de cod mun'!A220,#REF!,#REF!)))</f>
        <v>0</v>
      </c>
    </row>
    <row r="221" spans="1:3" ht="60">
      <c r="A221" s="16"/>
      <c r="B221" s="17">
        <f>COUNTIF(B4:B220,"Sim")</f>
        <v>46</v>
      </c>
      <c r="C221" t="b">
        <f>IF(B221="Sim",(_xlfn.XLOOKUP('(misc) bot de cod mun'!A221,#REF!,#REF!)))</f>
        <v>0</v>
      </c>
    </row>
  </sheetData>
  <autoFilter ref="A3:C221" xr:uid="{CF0D5AF8-10EE-45D2-B964-ADDE4751DEE4}"/>
  <mergeCells count="1">
    <mergeCell ref="O2:T17"/>
  </mergeCells>
  <dataValidations count="1">
    <dataValidation type="list" allowBlank="1" showInputMessage="1" showErrorMessage="1" sqref="B4:B220" xr:uid="{5A1B33BC-7C98-4B41-A310-987F322BD1D2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Diretriz</vt:lpstr>
      <vt:lpstr>Objetivo</vt:lpstr>
      <vt:lpstr>Meta</vt:lpstr>
      <vt:lpstr>Atividade</vt:lpstr>
      <vt:lpstr>(misc) bot de cod 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Eduardo Coutinho Melo</dc:creator>
  <cp:lastModifiedBy>Assessoria de Planejamento</cp:lastModifiedBy>
  <dcterms:created xsi:type="dcterms:W3CDTF">2024-03-11T19:52:58Z</dcterms:created>
  <dcterms:modified xsi:type="dcterms:W3CDTF">2026-07-06T18:41:40Z</dcterms:modified>
</cp:coreProperties>
</file>