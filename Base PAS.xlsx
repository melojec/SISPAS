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defaultThemeVersion="166925"/>
  <mc:AlternateContent xmlns:mc="http://schemas.openxmlformats.org/markup-compatibility/2006">
    <mc:Choice Requires="x15">
      <x15ac:absPath xmlns:x15ac="http://schemas.microsoft.com/office/spreadsheetml/2010/11/ac" url="C:\Users\joao.melo\Desktop\"/>
    </mc:Choice>
  </mc:AlternateContent>
  <xr:revisionPtr revIDLastSave="0" documentId="13_ncr:1_{E9669058-7A63-4F40-A3FB-FE26223D15FB}" xr6:coauthVersionLast="47" xr6:coauthVersionMax="47" xr10:uidLastSave="{00000000-0000-0000-0000-000000000000}"/>
  <bookViews>
    <workbookView xWindow="-28920" yWindow="5190" windowWidth="29040" windowHeight="16440" tabRatio="571" activeTab="3" xr2:uid="{27852ACE-A471-4F39-8B3A-E8EC19D7F6D6}"/>
  </bookViews>
  <sheets>
    <sheet name="Diretriz" sheetId="2" r:id="rId1"/>
    <sheet name="Objetivo" sheetId="3" r:id="rId2"/>
    <sheet name="Meta" sheetId="13" r:id="rId3"/>
    <sheet name="Atividade" sheetId="5" r:id="rId4"/>
    <sheet name="(misc) bot de cod mun" sheetId="12" state="hidden" r:id="rId5"/>
  </sheets>
  <definedNames>
    <definedName name="_xlnm._FilterDatabase" localSheetId="4" hidden="1">'(misc) bot de cod mun'!$A$3:$C$221</definedName>
    <definedName name="_xlnm._FilterDatabase" localSheetId="3" hidden="1">Atividade!$A$1:$K$317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33" i="5" l="1"/>
  <c r="F632" i="5"/>
  <c r="F631" i="5"/>
  <c r="F630" i="5"/>
  <c r="F629" i="5"/>
  <c r="F628" i="5"/>
  <c r="F627" i="5"/>
  <c r="F626" i="5"/>
  <c r="F625" i="5"/>
  <c r="F624" i="5"/>
  <c r="F623" i="5"/>
  <c r="F622" i="5"/>
  <c r="F621" i="5"/>
  <c r="F620" i="5"/>
  <c r="F619" i="5"/>
  <c r="F618" i="5"/>
  <c r="F617" i="5"/>
  <c r="F616" i="5"/>
  <c r="F615" i="5"/>
  <c r="F614" i="5"/>
  <c r="F613" i="5"/>
  <c r="F612" i="5"/>
  <c r="F611" i="5"/>
  <c r="F610" i="5"/>
  <c r="F609" i="5"/>
  <c r="F608" i="5"/>
  <c r="F607" i="5"/>
  <c r="F606" i="5"/>
  <c r="F605" i="5"/>
  <c r="F604" i="5"/>
  <c r="F603" i="5"/>
  <c r="F602" i="5"/>
  <c r="F601" i="5"/>
  <c r="F600" i="5"/>
  <c r="F599" i="5"/>
  <c r="F598" i="5"/>
  <c r="F597" i="5"/>
  <c r="F596" i="5"/>
  <c r="F595" i="5"/>
  <c r="F594" i="5"/>
  <c r="F593" i="5"/>
  <c r="F592" i="5"/>
  <c r="F591" i="5"/>
  <c r="F590" i="5"/>
  <c r="F589" i="5"/>
  <c r="F588" i="5"/>
  <c r="F587" i="5"/>
  <c r="F586" i="5"/>
  <c r="F585" i="5"/>
  <c r="F584" i="5"/>
  <c r="F583" i="5"/>
  <c r="F582" i="5"/>
  <c r="F581" i="5"/>
  <c r="F580" i="5"/>
  <c r="F579" i="5"/>
  <c r="F578" i="5"/>
  <c r="F577" i="5"/>
  <c r="F576" i="5"/>
  <c r="F575" i="5"/>
  <c r="F574" i="5"/>
  <c r="F573" i="5"/>
  <c r="F572" i="5"/>
  <c r="F571" i="5"/>
  <c r="F570" i="5"/>
  <c r="F569" i="5"/>
  <c r="F568" i="5"/>
  <c r="F567" i="5"/>
  <c r="F566" i="5"/>
  <c r="F565" i="5"/>
  <c r="F564" i="5"/>
  <c r="F563" i="5"/>
  <c r="F562" i="5"/>
  <c r="F561" i="5"/>
  <c r="F560" i="5"/>
  <c r="F559" i="5"/>
  <c r="F558" i="5"/>
  <c r="F557" i="5"/>
  <c r="F556" i="5"/>
  <c r="F555" i="5"/>
  <c r="F554" i="5"/>
  <c r="F553" i="5"/>
  <c r="F552" i="5"/>
  <c r="F551" i="5"/>
  <c r="F550" i="5"/>
  <c r="F549" i="5"/>
  <c r="F548" i="5"/>
  <c r="F547" i="5"/>
  <c r="F546" i="5"/>
  <c r="F545" i="5"/>
  <c r="F544" i="5"/>
  <c r="F543" i="5"/>
  <c r="F542" i="5"/>
  <c r="F541" i="5"/>
  <c r="F540" i="5"/>
  <c r="F539" i="5"/>
  <c r="F538" i="5"/>
  <c r="F537" i="5"/>
  <c r="F536" i="5"/>
  <c r="F535" i="5"/>
  <c r="F534" i="5"/>
  <c r="F533" i="5"/>
  <c r="F532" i="5"/>
  <c r="F531" i="5"/>
  <c r="F530" i="5"/>
  <c r="F529" i="5"/>
  <c r="F528" i="5"/>
  <c r="F527" i="5"/>
  <c r="F526" i="5"/>
  <c r="F525" i="5"/>
  <c r="F524" i="5"/>
  <c r="F523" i="5"/>
  <c r="F522" i="5"/>
  <c r="F521" i="5"/>
  <c r="F520" i="5"/>
  <c r="F519" i="5"/>
  <c r="F518" i="5"/>
  <c r="F517" i="5"/>
  <c r="F516" i="5"/>
  <c r="F515" i="5"/>
  <c r="F514" i="5"/>
  <c r="F513" i="5"/>
  <c r="F512" i="5"/>
  <c r="F511" i="5"/>
  <c r="F510" i="5"/>
  <c r="F509" i="5"/>
  <c r="F508" i="5"/>
  <c r="F507" i="5"/>
  <c r="F506" i="5"/>
  <c r="F505" i="5"/>
  <c r="F504" i="5"/>
  <c r="F503" i="5"/>
  <c r="F502" i="5"/>
  <c r="F501" i="5"/>
  <c r="F500" i="5"/>
  <c r="F499" i="5"/>
  <c r="F498" i="5"/>
  <c r="F497" i="5"/>
  <c r="F496" i="5"/>
  <c r="F495" i="5"/>
  <c r="F494" i="5"/>
  <c r="F493" i="5"/>
  <c r="F492" i="5"/>
  <c r="F491" i="5"/>
  <c r="F490" i="5"/>
  <c r="F489" i="5"/>
  <c r="F488" i="5"/>
  <c r="F487" i="5"/>
  <c r="F486" i="5"/>
  <c r="F485" i="5"/>
  <c r="F484" i="5"/>
  <c r="F483" i="5"/>
  <c r="F482" i="5"/>
  <c r="F481" i="5"/>
  <c r="F480" i="5"/>
  <c r="F479" i="5"/>
  <c r="F478" i="5"/>
  <c r="F477" i="5"/>
  <c r="F476" i="5"/>
  <c r="F475" i="5"/>
  <c r="F474" i="5"/>
  <c r="F473" i="5"/>
  <c r="F472" i="5"/>
  <c r="F471" i="5"/>
  <c r="F470" i="5"/>
  <c r="F469" i="5"/>
  <c r="F468" i="5"/>
  <c r="F467" i="5"/>
  <c r="F466" i="5"/>
  <c r="F465" i="5"/>
  <c r="F464" i="5"/>
  <c r="F463" i="5"/>
  <c r="F462" i="5"/>
  <c r="F461" i="5"/>
  <c r="F460" i="5"/>
  <c r="F459" i="5"/>
  <c r="F458" i="5"/>
  <c r="F457" i="5"/>
  <c r="F456" i="5"/>
  <c r="F455" i="5"/>
  <c r="F454" i="5"/>
  <c r="F453" i="5"/>
  <c r="F452" i="5"/>
  <c r="F451" i="5"/>
  <c r="F450" i="5"/>
  <c r="F449" i="5"/>
  <c r="F448" i="5"/>
  <c r="F447" i="5"/>
  <c r="F446" i="5"/>
  <c r="F445" i="5"/>
  <c r="F444" i="5"/>
  <c r="F443" i="5"/>
  <c r="F442" i="5"/>
  <c r="F441" i="5"/>
  <c r="F440" i="5"/>
  <c r="F439" i="5"/>
  <c r="F438" i="5"/>
  <c r="F437" i="5"/>
  <c r="F436" i="5"/>
  <c r="F435" i="5"/>
  <c r="F434" i="5"/>
  <c r="F433" i="5"/>
  <c r="F432" i="5"/>
  <c r="F431" i="5"/>
  <c r="F430" i="5"/>
  <c r="F429" i="5"/>
  <c r="F428" i="5"/>
  <c r="F427" i="5"/>
  <c r="F426" i="5"/>
  <c r="F425" i="5"/>
  <c r="F424" i="5"/>
  <c r="F423" i="5"/>
  <c r="F422" i="5"/>
  <c r="F421" i="5"/>
  <c r="F420" i="5"/>
  <c r="F419" i="5"/>
  <c r="F418" i="5"/>
  <c r="F417" i="5"/>
  <c r="F416" i="5"/>
  <c r="F415" i="5"/>
  <c r="F414" i="5"/>
  <c r="F413" i="5"/>
  <c r="F412" i="5"/>
  <c r="F411" i="5"/>
  <c r="F410" i="5"/>
  <c r="F409" i="5"/>
  <c r="F408" i="5"/>
  <c r="F407" i="5"/>
  <c r="F406" i="5"/>
  <c r="F405" i="5"/>
  <c r="F404" i="5"/>
  <c r="F403" i="5"/>
  <c r="F402" i="5"/>
  <c r="F401" i="5"/>
  <c r="F400" i="5"/>
  <c r="F399" i="5"/>
  <c r="F398" i="5"/>
  <c r="F397" i="5"/>
  <c r="F396" i="5"/>
  <c r="F395" i="5"/>
  <c r="F394" i="5"/>
  <c r="F393" i="5"/>
  <c r="F392" i="5"/>
  <c r="F391" i="5"/>
  <c r="F390" i="5"/>
  <c r="F389" i="5"/>
  <c r="F388" i="5"/>
  <c r="F387" i="5"/>
  <c r="F386" i="5"/>
  <c r="F385" i="5"/>
  <c r="F384" i="5"/>
  <c r="F383" i="5"/>
  <c r="F382" i="5"/>
  <c r="F381" i="5"/>
  <c r="F380" i="5"/>
  <c r="F379" i="5"/>
  <c r="F378" i="5"/>
  <c r="F377" i="5"/>
  <c r="F376" i="5"/>
  <c r="F375" i="5"/>
  <c r="F374" i="5"/>
  <c r="F373" i="5"/>
  <c r="F372" i="5"/>
  <c r="F371" i="5"/>
  <c r="F370" i="5"/>
  <c r="F369" i="5"/>
  <c r="F368" i="5"/>
  <c r="F367" i="5"/>
  <c r="F366" i="5"/>
  <c r="F365" i="5"/>
  <c r="F364" i="5"/>
  <c r="F363" i="5"/>
  <c r="F362" i="5"/>
  <c r="F361" i="5"/>
  <c r="F360" i="5"/>
  <c r="F359" i="5"/>
  <c r="F358" i="5"/>
  <c r="F357" i="5"/>
  <c r="F356" i="5"/>
  <c r="F355" i="5"/>
  <c r="F354" i="5"/>
  <c r="F353" i="5"/>
  <c r="F352" i="5"/>
  <c r="F351" i="5"/>
  <c r="F350" i="5"/>
  <c r="F349" i="5"/>
  <c r="F348" i="5"/>
  <c r="F347" i="5"/>
  <c r="F346" i="5"/>
  <c r="F345" i="5"/>
  <c r="F344" i="5"/>
  <c r="F343" i="5"/>
  <c r="F342" i="5"/>
  <c r="F341" i="5"/>
  <c r="F340" i="5"/>
  <c r="F339" i="5"/>
  <c r="F338" i="5"/>
  <c r="F337" i="5"/>
  <c r="F336" i="5"/>
  <c r="F335" i="5"/>
  <c r="F334" i="5"/>
  <c r="F333" i="5"/>
  <c r="F332" i="5"/>
  <c r="F331" i="5"/>
  <c r="F330" i="5"/>
  <c r="F329" i="5"/>
  <c r="F328" i="5"/>
  <c r="F327" i="5"/>
  <c r="F326" i="5"/>
  <c r="F325" i="5"/>
  <c r="F324" i="5"/>
  <c r="F323" i="5"/>
  <c r="F322" i="5"/>
  <c r="F321" i="5"/>
  <c r="F320" i="5"/>
  <c r="F319" i="5"/>
  <c r="F318" i="5"/>
  <c r="B221" i="12" l="1"/>
  <c r="C6" i="12"/>
  <c r="C7" i="12"/>
  <c r="C9" i="12"/>
  <c r="C10" i="12"/>
  <c r="C11" i="12"/>
  <c r="C13" i="12"/>
  <c r="C15" i="12"/>
  <c r="C16" i="12"/>
  <c r="C17" i="12"/>
  <c r="C18" i="12"/>
  <c r="C19" i="12"/>
  <c r="C20" i="12"/>
  <c r="C21" i="12"/>
  <c r="C22" i="12"/>
  <c r="C25" i="12"/>
  <c r="C26" i="12"/>
  <c r="C28" i="12"/>
  <c r="C30" i="12"/>
  <c r="C31" i="12"/>
  <c r="C32" i="12"/>
  <c r="C33" i="12"/>
  <c r="C34" i="12"/>
  <c r="C35" i="12"/>
  <c r="C36" i="12"/>
  <c r="C37" i="12"/>
  <c r="C38" i="12"/>
  <c r="C39" i="12"/>
  <c r="C40" i="12"/>
  <c r="C41" i="12"/>
  <c r="C45" i="12"/>
  <c r="C46" i="12"/>
  <c r="C47" i="12"/>
  <c r="C48" i="12"/>
  <c r="C49" i="12"/>
  <c r="C50" i="12"/>
  <c r="C51" i="12"/>
  <c r="C52" i="12"/>
  <c r="C54" i="12"/>
  <c r="C56" i="12"/>
  <c r="C57" i="12"/>
  <c r="C58" i="12"/>
  <c r="C59" i="12"/>
  <c r="C65" i="12"/>
  <c r="C67" i="12"/>
  <c r="C68" i="12"/>
  <c r="C71" i="12"/>
  <c r="C73" i="12"/>
  <c r="C74" i="12"/>
  <c r="C75" i="12"/>
  <c r="C76" i="12"/>
  <c r="C77" i="12"/>
  <c r="C78" i="12"/>
  <c r="C79" i="12"/>
  <c r="C80" i="12"/>
  <c r="C81" i="12"/>
  <c r="C82" i="12"/>
  <c r="C83" i="12"/>
  <c r="C84" i="12"/>
  <c r="C85" i="12"/>
  <c r="C86" i="12"/>
  <c r="C88" i="12"/>
  <c r="C89" i="12"/>
  <c r="C90" i="12"/>
  <c r="C91" i="12"/>
  <c r="C92" i="12"/>
  <c r="C94" i="12"/>
  <c r="C95" i="12"/>
  <c r="C97" i="12"/>
  <c r="C98" i="12"/>
  <c r="C99" i="12"/>
  <c r="C100" i="12"/>
  <c r="C101" i="12"/>
  <c r="C102" i="12"/>
  <c r="C103" i="12"/>
  <c r="C104" i="12"/>
  <c r="C105" i="12"/>
  <c r="C106" i="12"/>
  <c r="C107" i="12"/>
  <c r="C108" i="12"/>
  <c r="C109" i="12"/>
  <c r="C110" i="12"/>
  <c r="C111" i="12"/>
  <c r="C112" i="12"/>
  <c r="C113" i="12"/>
  <c r="C114" i="12"/>
  <c r="C115" i="12"/>
  <c r="C116" i="12"/>
  <c r="C117" i="12"/>
  <c r="C119" i="12"/>
  <c r="C120" i="12"/>
  <c r="C121" i="12"/>
  <c r="C122" i="12"/>
  <c r="C123" i="12"/>
  <c r="C124" i="12"/>
  <c r="C125" i="12"/>
  <c r="C126" i="12"/>
  <c r="C127" i="12"/>
  <c r="C128" i="12"/>
  <c r="C129" i="12"/>
  <c r="C130" i="12"/>
  <c r="C131" i="12"/>
  <c r="C132" i="12"/>
  <c r="C133" i="12"/>
  <c r="C134" i="12"/>
  <c r="C135" i="12"/>
  <c r="C137" i="12"/>
  <c r="C139" i="12"/>
  <c r="C140" i="12"/>
  <c r="C141" i="12"/>
  <c r="C142" i="12"/>
  <c r="C143" i="12"/>
  <c r="C144" i="12"/>
  <c r="C146" i="12"/>
  <c r="C148" i="12"/>
  <c r="C149" i="12"/>
  <c r="C150" i="12"/>
  <c r="C152" i="12"/>
  <c r="C154" i="12"/>
  <c r="C155" i="12"/>
  <c r="C156" i="12"/>
  <c r="C157" i="12"/>
  <c r="C158" i="12"/>
  <c r="C159" i="12"/>
  <c r="C160" i="12"/>
  <c r="C161" i="12"/>
  <c r="C162" i="12"/>
  <c r="C163" i="12"/>
  <c r="C164" i="12"/>
  <c r="C165" i="12"/>
  <c r="C166" i="12"/>
  <c r="C167" i="12"/>
  <c r="C168" i="12"/>
  <c r="C169" i="12"/>
  <c r="C171" i="12"/>
  <c r="C172" i="12"/>
  <c r="C173" i="12"/>
  <c r="C174" i="12"/>
  <c r="C175" i="12"/>
  <c r="C176" i="12"/>
  <c r="C177" i="12"/>
  <c r="C179" i="12"/>
  <c r="C180" i="12"/>
  <c r="C182" i="12"/>
  <c r="C183" i="12"/>
  <c r="C184" i="12"/>
  <c r="C185" i="12"/>
  <c r="C188" i="12"/>
  <c r="C190" i="12"/>
  <c r="C191" i="12"/>
  <c r="C193" i="12"/>
  <c r="C195" i="12"/>
  <c r="C196" i="12"/>
  <c r="C197" i="12"/>
  <c r="C198" i="12"/>
  <c r="C199" i="12"/>
  <c r="C200" i="12"/>
  <c r="C201" i="12"/>
  <c r="C203" i="12"/>
  <c r="C204" i="12"/>
  <c r="C205" i="12"/>
  <c r="C208" i="12"/>
  <c r="C209" i="12"/>
  <c r="C211" i="12"/>
  <c r="C212" i="12"/>
  <c r="C213" i="12"/>
  <c r="C214" i="12"/>
  <c r="C215" i="12"/>
  <c r="C216" i="12"/>
  <c r="C218" i="12"/>
  <c r="C219" i="12"/>
  <c r="C220" i="12"/>
  <c r="C221" i="12"/>
  <c r="C5" i="12" l="1"/>
  <c r="C192" i="12"/>
  <c r="C136" i="12"/>
  <c r="C96" i="12"/>
  <c r="C72" i="12"/>
  <c r="C64" i="12"/>
  <c r="C60" i="12"/>
  <c r="C44" i="12"/>
  <c r="C24" i="12"/>
  <c r="C12" i="12"/>
  <c r="C8" i="12"/>
  <c r="C207" i="12"/>
  <c r="C187" i="12"/>
  <c r="C151" i="12"/>
  <c r="C147" i="12"/>
  <c r="C87" i="12"/>
  <c r="C63" i="12"/>
  <c r="C55" i="12"/>
  <c r="C43" i="12"/>
  <c r="C27" i="12"/>
  <c r="C23" i="12"/>
  <c r="C4" i="12"/>
  <c r="C210" i="12"/>
  <c r="C206" i="12"/>
  <c r="C202" i="12"/>
  <c r="C194" i="12"/>
  <c r="C186" i="12"/>
  <c r="C178" i="12"/>
  <c r="C170" i="12"/>
  <c r="C138" i="12"/>
  <c r="C118" i="12"/>
  <c r="C70" i="12"/>
  <c r="C66" i="12"/>
  <c r="C62" i="12"/>
  <c r="C42" i="12"/>
  <c r="C14" i="12"/>
  <c r="C217" i="12"/>
  <c r="C189" i="12"/>
  <c r="C181" i="12"/>
  <c r="C153" i="12"/>
  <c r="C145" i="12"/>
  <c r="C93" i="12"/>
  <c r="C69" i="12"/>
  <c r="C61" i="12"/>
  <c r="C53" i="12"/>
  <c r="C29" i="12"/>
  <c r="F317" i="5"/>
  <c r="D317" i="5"/>
  <c r="B317" i="5"/>
  <c r="F316" i="5"/>
  <c r="D316" i="5"/>
  <c r="B316" i="5"/>
  <c r="F315" i="5"/>
  <c r="D315" i="5"/>
  <c r="B315" i="5"/>
  <c r="F314" i="5"/>
  <c r="D314" i="5"/>
  <c r="B314" i="5"/>
  <c r="F313" i="5"/>
  <c r="D313" i="5"/>
  <c r="B313" i="5"/>
  <c r="F312" i="5"/>
  <c r="D312" i="5"/>
  <c r="B312" i="5"/>
  <c r="F311" i="5"/>
  <c r="D311" i="5"/>
  <c r="B311" i="5"/>
  <c r="F310" i="5"/>
  <c r="D310" i="5"/>
  <c r="B310" i="5"/>
  <c r="F309" i="5"/>
  <c r="D309" i="5"/>
  <c r="B309" i="5"/>
  <c r="F308" i="5"/>
  <c r="D308" i="5"/>
  <c r="B308" i="5"/>
  <c r="F307" i="5"/>
  <c r="D307" i="5"/>
  <c r="B307" i="5"/>
  <c r="F306" i="5"/>
  <c r="D306" i="5"/>
  <c r="B306" i="5"/>
  <c r="F305" i="5"/>
  <c r="D305" i="5"/>
  <c r="B305" i="5"/>
  <c r="F304" i="5"/>
  <c r="D304" i="5"/>
  <c r="B304" i="5"/>
  <c r="F303" i="5"/>
  <c r="D303" i="5"/>
  <c r="B303" i="5"/>
  <c r="F302" i="5"/>
  <c r="D302" i="5"/>
  <c r="B302" i="5"/>
  <c r="F301" i="5"/>
  <c r="D301" i="5"/>
  <c r="B301" i="5"/>
  <c r="F300" i="5"/>
  <c r="D300" i="5"/>
  <c r="B300" i="5"/>
  <c r="F299" i="5"/>
  <c r="D299" i="5"/>
  <c r="B299" i="5"/>
  <c r="F298" i="5"/>
  <c r="D298" i="5"/>
  <c r="B298" i="5"/>
  <c r="F297" i="5"/>
  <c r="D297" i="5"/>
  <c r="B297" i="5"/>
  <c r="F296" i="5"/>
  <c r="D296" i="5"/>
  <c r="B296" i="5"/>
  <c r="F295" i="5"/>
  <c r="D295" i="5"/>
  <c r="B295" i="5"/>
  <c r="F294" i="5"/>
  <c r="D294" i="5"/>
  <c r="B294" i="5"/>
  <c r="F293" i="5"/>
  <c r="D293" i="5"/>
  <c r="B293" i="5"/>
  <c r="F292" i="5"/>
  <c r="D292" i="5"/>
  <c r="B292" i="5"/>
  <c r="F291" i="5"/>
  <c r="D291" i="5"/>
  <c r="B291" i="5"/>
  <c r="F290" i="5"/>
  <c r="D290" i="5"/>
  <c r="B290" i="5"/>
  <c r="F289" i="5"/>
  <c r="D289" i="5"/>
  <c r="B289" i="5"/>
  <c r="F288" i="5"/>
  <c r="D288" i="5"/>
  <c r="B288" i="5"/>
  <c r="F287" i="5"/>
  <c r="D287" i="5"/>
  <c r="B287" i="5"/>
  <c r="F286" i="5"/>
  <c r="D286" i="5"/>
  <c r="B286" i="5"/>
  <c r="F285" i="5"/>
  <c r="D285" i="5"/>
  <c r="B285" i="5"/>
  <c r="F284" i="5"/>
  <c r="D284" i="5"/>
  <c r="B284" i="5"/>
  <c r="F283" i="5"/>
  <c r="D283" i="5"/>
  <c r="B283" i="5"/>
  <c r="F282" i="5"/>
  <c r="D282" i="5"/>
  <c r="B282" i="5"/>
  <c r="F281" i="5"/>
  <c r="D281" i="5"/>
  <c r="B281" i="5"/>
  <c r="F280" i="5"/>
  <c r="D280" i="5"/>
  <c r="B280" i="5"/>
  <c r="F279" i="5"/>
  <c r="D279" i="5"/>
  <c r="B279" i="5"/>
  <c r="F278" i="5"/>
  <c r="D278" i="5"/>
  <c r="B278" i="5"/>
  <c r="F277" i="5"/>
  <c r="D277" i="5"/>
  <c r="B277" i="5"/>
  <c r="F276" i="5"/>
  <c r="D276" i="5"/>
  <c r="B276" i="5"/>
  <c r="F275" i="5"/>
  <c r="D275" i="5"/>
  <c r="B275" i="5"/>
  <c r="F274" i="5"/>
  <c r="D274" i="5"/>
  <c r="B274" i="5"/>
  <c r="F273" i="5"/>
  <c r="D273" i="5"/>
  <c r="B273" i="5"/>
  <c r="F272" i="5"/>
  <c r="D272" i="5"/>
  <c r="B272" i="5"/>
  <c r="F271" i="5"/>
  <c r="D271" i="5"/>
  <c r="B271" i="5"/>
  <c r="F270" i="5"/>
  <c r="D270" i="5"/>
  <c r="B270" i="5"/>
  <c r="F269" i="5"/>
  <c r="D269" i="5"/>
  <c r="B269" i="5"/>
  <c r="F268" i="5"/>
  <c r="D268" i="5"/>
  <c r="B268" i="5"/>
  <c r="F267" i="5"/>
  <c r="D267" i="5"/>
  <c r="B267" i="5"/>
  <c r="F266" i="5"/>
  <c r="D266" i="5"/>
  <c r="B266" i="5"/>
  <c r="F265" i="5"/>
  <c r="D265" i="5"/>
  <c r="B265" i="5"/>
  <c r="F264" i="5"/>
  <c r="D264" i="5"/>
  <c r="B264" i="5"/>
  <c r="F263" i="5"/>
  <c r="D263" i="5"/>
  <c r="B263" i="5"/>
  <c r="F262" i="5"/>
  <c r="D262" i="5"/>
  <c r="B262" i="5"/>
  <c r="F261" i="5"/>
  <c r="D261" i="5"/>
  <c r="B261" i="5"/>
  <c r="F260" i="5"/>
  <c r="D260" i="5"/>
  <c r="B260" i="5"/>
  <c r="F259" i="5"/>
  <c r="D259" i="5"/>
  <c r="B259" i="5"/>
  <c r="F258" i="5"/>
  <c r="D258" i="5"/>
  <c r="B258" i="5"/>
  <c r="F257" i="5"/>
  <c r="D257" i="5"/>
  <c r="B257" i="5"/>
  <c r="F256" i="5"/>
  <c r="D256" i="5"/>
  <c r="B256" i="5"/>
  <c r="F255" i="5"/>
  <c r="D255" i="5"/>
  <c r="B255" i="5"/>
  <c r="F254" i="5"/>
  <c r="D254" i="5"/>
  <c r="B254" i="5"/>
  <c r="F253" i="5"/>
  <c r="D253" i="5"/>
  <c r="B253" i="5"/>
  <c r="F252" i="5"/>
  <c r="D252" i="5"/>
  <c r="B252" i="5"/>
  <c r="F251" i="5"/>
  <c r="D251" i="5"/>
  <c r="B251" i="5"/>
  <c r="F250" i="5"/>
  <c r="D250" i="5"/>
  <c r="B250" i="5"/>
  <c r="F249" i="5"/>
  <c r="D249" i="5"/>
  <c r="B249" i="5"/>
  <c r="F248" i="5"/>
  <c r="D248" i="5"/>
  <c r="B248" i="5"/>
  <c r="F247" i="5"/>
  <c r="D247" i="5"/>
  <c r="B247" i="5"/>
  <c r="F246" i="5"/>
  <c r="D246" i="5"/>
  <c r="B246" i="5"/>
  <c r="F245" i="5"/>
  <c r="D245" i="5"/>
  <c r="B245" i="5"/>
  <c r="F244" i="5"/>
  <c r="D244" i="5"/>
  <c r="B244" i="5"/>
  <c r="F243" i="5"/>
  <c r="D243" i="5"/>
  <c r="B243" i="5"/>
  <c r="F242" i="5"/>
  <c r="D242" i="5"/>
  <c r="B242" i="5"/>
  <c r="F241" i="5"/>
  <c r="D241" i="5"/>
  <c r="B241" i="5"/>
  <c r="F240" i="5"/>
  <c r="D240" i="5"/>
  <c r="B240" i="5"/>
  <c r="F239" i="5"/>
  <c r="D239" i="5"/>
  <c r="B239" i="5"/>
  <c r="F238" i="5"/>
  <c r="D238" i="5"/>
  <c r="B238" i="5"/>
  <c r="F237" i="5"/>
  <c r="D237" i="5"/>
  <c r="B237" i="5"/>
  <c r="F236" i="5"/>
  <c r="D236" i="5"/>
  <c r="B236" i="5"/>
  <c r="F235" i="5"/>
  <c r="D235" i="5"/>
  <c r="B235" i="5"/>
  <c r="F234" i="5"/>
  <c r="D234" i="5"/>
  <c r="B234" i="5"/>
  <c r="F233" i="5"/>
  <c r="D233" i="5"/>
  <c r="B233" i="5"/>
  <c r="F232" i="5"/>
  <c r="D232" i="5"/>
  <c r="B232" i="5"/>
  <c r="F231" i="5"/>
  <c r="D231" i="5"/>
  <c r="B231" i="5"/>
  <c r="F230" i="5"/>
  <c r="D230" i="5"/>
  <c r="B230" i="5"/>
  <c r="F229" i="5"/>
  <c r="D229" i="5"/>
  <c r="B229" i="5"/>
  <c r="F228" i="5"/>
  <c r="D228" i="5"/>
  <c r="B228" i="5"/>
  <c r="F227" i="5"/>
  <c r="D227" i="5"/>
  <c r="B227" i="5"/>
  <c r="F226" i="5"/>
  <c r="D226" i="5"/>
  <c r="B226" i="5"/>
  <c r="F225" i="5"/>
  <c r="D225" i="5"/>
  <c r="B225" i="5"/>
  <c r="F224" i="5"/>
  <c r="D224" i="5"/>
  <c r="B224" i="5"/>
  <c r="F223" i="5"/>
  <c r="D223" i="5"/>
  <c r="B223" i="5"/>
  <c r="F222" i="5"/>
  <c r="D222" i="5"/>
  <c r="B222" i="5"/>
  <c r="F221" i="5"/>
  <c r="D221" i="5"/>
  <c r="B221" i="5"/>
  <c r="F220" i="5"/>
  <c r="D220" i="5"/>
  <c r="B220" i="5"/>
  <c r="F219" i="5"/>
  <c r="D219" i="5"/>
  <c r="B219" i="5"/>
  <c r="F218" i="5"/>
  <c r="D218" i="5"/>
  <c r="B218" i="5"/>
  <c r="F217" i="5"/>
  <c r="D217" i="5"/>
  <c r="B217" i="5"/>
  <c r="F216" i="5"/>
  <c r="D216" i="5"/>
  <c r="B216" i="5"/>
  <c r="F215" i="5"/>
  <c r="D215" i="5"/>
  <c r="B215" i="5"/>
  <c r="F214" i="5"/>
  <c r="D214" i="5"/>
  <c r="B214" i="5"/>
  <c r="F213" i="5"/>
  <c r="D213" i="5"/>
  <c r="B213" i="5"/>
  <c r="F212" i="5"/>
  <c r="D212" i="5"/>
  <c r="B212" i="5"/>
  <c r="F211" i="5"/>
  <c r="D211" i="5"/>
  <c r="B211" i="5"/>
  <c r="F210" i="5"/>
  <c r="D210" i="5"/>
  <c r="B210" i="5"/>
  <c r="F209" i="5"/>
  <c r="D209" i="5"/>
  <c r="B209" i="5"/>
  <c r="F208" i="5"/>
  <c r="D208" i="5"/>
  <c r="B208" i="5"/>
  <c r="F207" i="5"/>
  <c r="D207" i="5"/>
  <c r="B207" i="5"/>
  <c r="F206" i="5"/>
  <c r="D206" i="5"/>
  <c r="B206" i="5"/>
  <c r="F205" i="5"/>
  <c r="D205" i="5"/>
  <c r="B205" i="5"/>
  <c r="F204" i="5"/>
  <c r="D204" i="5"/>
  <c r="B204" i="5"/>
  <c r="F203" i="5"/>
  <c r="D203" i="5"/>
  <c r="B203" i="5"/>
  <c r="F202" i="5"/>
  <c r="D202" i="5"/>
  <c r="B202" i="5"/>
  <c r="F201" i="5"/>
  <c r="D201" i="5"/>
  <c r="B201" i="5"/>
  <c r="F200" i="5"/>
  <c r="D200" i="5"/>
  <c r="B200" i="5"/>
  <c r="F199" i="5"/>
  <c r="D199" i="5"/>
  <c r="B199" i="5"/>
  <c r="F198" i="5"/>
  <c r="D198" i="5"/>
  <c r="B198" i="5"/>
  <c r="F197" i="5"/>
  <c r="D197" i="5"/>
  <c r="B197" i="5"/>
  <c r="F196" i="5"/>
  <c r="D196" i="5"/>
  <c r="B196" i="5"/>
  <c r="F195" i="5"/>
  <c r="D195" i="5"/>
  <c r="B195" i="5"/>
  <c r="F194" i="5"/>
  <c r="D194" i="5"/>
  <c r="B194" i="5"/>
  <c r="F193" i="5"/>
  <c r="D193" i="5"/>
  <c r="B193" i="5"/>
  <c r="F192" i="5"/>
  <c r="D192" i="5"/>
  <c r="B192" i="5"/>
  <c r="F191" i="5"/>
  <c r="D191" i="5"/>
  <c r="B191" i="5"/>
  <c r="F190" i="5"/>
  <c r="D190" i="5"/>
  <c r="B190" i="5"/>
  <c r="F189" i="5"/>
  <c r="D189" i="5"/>
  <c r="B189" i="5"/>
  <c r="F188" i="5"/>
  <c r="D188" i="5"/>
  <c r="B188" i="5"/>
  <c r="F187" i="5"/>
  <c r="D187" i="5"/>
  <c r="B187" i="5"/>
  <c r="F186" i="5"/>
  <c r="D186" i="5"/>
  <c r="B186" i="5"/>
  <c r="F185" i="5"/>
  <c r="D185" i="5"/>
  <c r="B185" i="5"/>
  <c r="F184" i="5"/>
  <c r="D184" i="5"/>
  <c r="B184" i="5"/>
  <c r="F183" i="5"/>
  <c r="D183" i="5"/>
  <c r="B183" i="5"/>
  <c r="F182" i="5"/>
  <c r="D182" i="5"/>
  <c r="B182" i="5"/>
  <c r="F181" i="5"/>
  <c r="D181" i="5"/>
  <c r="B181" i="5"/>
  <c r="F180" i="5"/>
  <c r="D180" i="5"/>
  <c r="B180" i="5"/>
  <c r="F179" i="5"/>
  <c r="D179" i="5"/>
  <c r="B179" i="5"/>
  <c r="F178" i="5"/>
  <c r="D178" i="5"/>
  <c r="B178" i="5"/>
  <c r="F177" i="5"/>
  <c r="D177" i="5"/>
  <c r="B177" i="5"/>
  <c r="F176" i="5"/>
  <c r="D176" i="5"/>
  <c r="B176" i="5"/>
  <c r="F175" i="5"/>
  <c r="D175" i="5"/>
  <c r="B175" i="5"/>
  <c r="F174" i="5"/>
  <c r="D174" i="5"/>
  <c r="B174" i="5"/>
  <c r="F173" i="5"/>
  <c r="D173" i="5"/>
  <c r="B173" i="5"/>
  <c r="F172" i="5"/>
  <c r="D172" i="5"/>
  <c r="B172" i="5"/>
  <c r="F171" i="5"/>
  <c r="D171" i="5"/>
  <c r="B171" i="5"/>
  <c r="F170" i="5"/>
  <c r="D170" i="5"/>
  <c r="B170" i="5"/>
  <c r="F169" i="5"/>
  <c r="D169" i="5"/>
  <c r="B169" i="5"/>
  <c r="F168" i="5"/>
  <c r="D168" i="5"/>
  <c r="B168" i="5"/>
  <c r="F167" i="5"/>
  <c r="D167" i="5"/>
  <c r="B167" i="5"/>
  <c r="F166" i="5"/>
  <c r="D166" i="5"/>
  <c r="B166" i="5"/>
  <c r="F165" i="5"/>
  <c r="D165" i="5"/>
  <c r="B165" i="5"/>
  <c r="F164" i="5"/>
  <c r="D164" i="5"/>
  <c r="B164" i="5"/>
  <c r="F163" i="5"/>
  <c r="D163" i="5"/>
  <c r="B163" i="5"/>
  <c r="F162" i="5"/>
  <c r="D162" i="5"/>
  <c r="B162" i="5"/>
  <c r="F161" i="5"/>
  <c r="D161" i="5"/>
  <c r="B161" i="5"/>
  <c r="F160" i="5"/>
  <c r="D160" i="5"/>
  <c r="B160" i="5"/>
  <c r="F159" i="5"/>
  <c r="D159" i="5"/>
  <c r="B159" i="5"/>
  <c r="F158" i="5"/>
  <c r="D158" i="5"/>
  <c r="B158" i="5"/>
  <c r="F157" i="5"/>
  <c r="D157" i="5"/>
  <c r="B157" i="5"/>
  <c r="F156" i="5"/>
  <c r="D156" i="5"/>
  <c r="B156" i="5"/>
  <c r="F155" i="5"/>
  <c r="D155" i="5"/>
  <c r="B155" i="5"/>
  <c r="F154" i="5"/>
  <c r="D154" i="5"/>
  <c r="B154" i="5"/>
  <c r="F153" i="5"/>
  <c r="D153" i="5"/>
  <c r="B153" i="5"/>
  <c r="F152" i="5"/>
  <c r="D152" i="5"/>
  <c r="B152" i="5"/>
  <c r="F151" i="5"/>
  <c r="D151" i="5"/>
  <c r="B151" i="5"/>
  <c r="F150" i="5"/>
  <c r="D150" i="5"/>
  <c r="B150" i="5"/>
  <c r="F149" i="5"/>
  <c r="D149" i="5"/>
  <c r="B149" i="5"/>
  <c r="F148" i="5"/>
  <c r="D148" i="5"/>
  <c r="B148" i="5"/>
  <c r="F147" i="5"/>
  <c r="D147" i="5"/>
  <c r="B147" i="5"/>
  <c r="F146" i="5"/>
  <c r="D146" i="5"/>
  <c r="B146" i="5"/>
  <c r="F145" i="5"/>
  <c r="D145" i="5"/>
  <c r="B145" i="5"/>
  <c r="F144" i="5"/>
  <c r="D144" i="5"/>
  <c r="B144" i="5"/>
  <c r="F143" i="5"/>
  <c r="D143" i="5"/>
  <c r="B143" i="5"/>
  <c r="F142" i="5"/>
  <c r="D142" i="5"/>
  <c r="B142" i="5"/>
  <c r="F141" i="5"/>
  <c r="D141" i="5"/>
  <c r="B141" i="5"/>
  <c r="F140" i="5"/>
  <c r="D140" i="5"/>
  <c r="B140" i="5"/>
  <c r="F139" i="5"/>
  <c r="D139" i="5"/>
  <c r="B139" i="5"/>
  <c r="F138" i="5"/>
  <c r="D138" i="5"/>
  <c r="B138" i="5"/>
  <c r="F137" i="5"/>
  <c r="D137" i="5"/>
  <c r="B137" i="5"/>
  <c r="F136" i="5"/>
  <c r="D136" i="5"/>
  <c r="B136" i="5"/>
  <c r="F135" i="5"/>
  <c r="D135" i="5"/>
  <c r="B135" i="5"/>
  <c r="F134" i="5"/>
  <c r="D134" i="5"/>
  <c r="B134" i="5"/>
  <c r="F133" i="5"/>
  <c r="D133" i="5"/>
  <c r="B133" i="5"/>
  <c r="F132" i="5"/>
  <c r="D132" i="5"/>
  <c r="B132" i="5"/>
  <c r="F131" i="5"/>
  <c r="D131" i="5"/>
  <c r="B131" i="5"/>
  <c r="F130" i="5"/>
  <c r="D130" i="5"/>
  <c r="B130" i="5"/>
  <c r="F129" i="5"/>
  <c r="D129" i="5"/>
  <c r="B129" i="5"/>
  <c r="F128" i="5"/>
  <c r="D128" i="5"/>
  <c r="B128" i="5"/>
  <c r="F127" i="5"/>
  <c r="D127" i="5"/>
  <c r="B127" i="5"/>
  <c r="F126" i="5"/>
  <c r="D126" i="5"/>
  <c r="B126" i="5"/>
  <c r="F125" i="5"/>
  <c r="D125" i="5"/>
  <c r="B125" i="5"/>
  <c r="F124" i="5"/>
  <c r="D124" i="5"/>
  <c r="B124" i="5"/>
  <c r="F123" i="5"/>
  <c r="D123" i="5"/>
  <c r="B123" i="5"/>
  <c r="F122" i="5"/>
  <c r="D122" i="5"/>
  <c r="B122" i="5"/>
  <c r="F121" i="5"/>
  <c r="D121" i="5"/>
  <c r="B121" i="5"/>
  <c r="F120" i="5"/>
  <c r="D120" i="5"/>
  <c r="B120" i="5"/>
  <c r="F119" i="5"/>
  <c r="D119" i="5"/>
  <c r="B119" i="5"/>
  <c r="F118" i="5"/>
  <c r="D118" i="5"/>
  <c r="B118" i="5"/>
  <c r="F117" i="5"/>
  <c r="D117" i="5"/>
  <c r="B117" i="5"/>
  <c r="F116" i="5"/>
  <c r="D116" i="5"/>
  <c r="B116" i="5"/>
  <c r="F115" i="5"/>
  <c r="D115" i="5"/>
  <c r="B115" i="5"/>
  <c r="F114" i="5"/>
  <c r="D114" i="5"/>
  <c r="B114" i="5"/>
  <c r="F113" i="5"/>
  <c r="D113" i="5"/>
  <c r="B113" i="5"/>
  <c r="F112" i="5"/>
  <c r="D112" i="5"/>
  <c r="B112" i="5"/>
  <c r="F111" i="5"/>
  <c r="D111" i="5"/>
  <c r="B111" i="5"/>
  <c r="F110" i="5"/>
  <c r="D110" i="5"/>
  <c r="B110" i="5"/>
  <c r="F109" i="5"/>
  <c r="D109" i="5"/>
  <c r="B109" i="5"/>
  <c r="F108" i="5"/>
  <c r="D108" i="5"/>
  <c r="B108" i="5"/>
  <c r="F107" i="5"/>
  <c r="D107" i="5"/>
  <c r="B107" i="5"/>
  <c r="F106" i="5"/>
  <c r="D106" i="5"/>
  <c r="B106" i="5"/>
  <c r="F105" i="5"/>
  <c r="D105" i="5"/>
  <c r="B105" i="5"/>
  <c r="F104" i="5"/>
  <c r="D104" i="5"/>
  <c r="B104" i="5"/>
  <c r="F103" i="5"/>
  <c r="D103" i="5"/>
  <c r="B103" i="5"/>
  <c r="F102" i="5"/>
  <c r="D102" i="5"/>
  <c r="B102" i="5"/>
  <c r="F101" i="5"/>
  <c r="D101" i="5"/>
  <c r="B101" i="5"/>
  <c r="F100" i="5"/>
  <c r="D100" i="5"/>
  <c r="B100" i="5"/>
  <c r="F99" i="5"/>
  <c r="D99" i="5"/>
  <c r="B99" i="5"/>
  <c r="F98" i="5"/>
  <c r="D98" i="5"/>
  <c r="B98" i="5"/>
  <c r="F97" i="5"/>
  <c r="D97" i="5"/>
  <c r="B97" i="5"/>
  <c r="F96" i="5"/>
  <c r="D96" i="5"/>
  <c r="B96" i="5"/>
  <c r="F95" i="5"/>
  <c r="D95" i="5"/>
  <c r="B95" i="5"/>
  <c r="F94" i="5"/>
  <c r="D94" i="5"/>
  <c r="B94" i="5"/>
  <c r="F93" i="5"/>
  <c r="D93" i="5"/>
  <c r="B93" i="5"/>
  <c r="F92" i="5"/>
  <c r="D92" i="5"/>
  <c r="B92" i="5"/>
  <c r="F91" i="5"/>
  <c r="D91" i="5"/>
  <c r="B91" i="5"/>
  <c r="F90" i="5"/>
  <c r="D90" i="5"/>
  <c r="B90" i="5"/>
  <c r="F89" i="5"/>
  <c r="D89" i="5"/>
  <c r="B89" i="5"/>
  <c r="F88" i="5"/>
  <c r="D88" i="5"/>
  <c r="B88" i="5"/>
  <c r="F87" i="5"/>
  <c r="D87" i="5"/>
  <c r="B87" i="5"/>
  <c r="F86" i="5"/>
  <c r="D86" i="5"/>
  <c r="B86" i="5"/>
  <c r="F85" i="5"/>
  <c r="D85" i="5"/>
  <c r="B85" i="5"/>
  <c r="F84" i="5"/>
  <c r="D84" i="5"/>
  <c r="B84" i="5"/>
  <c r="F83" i="5"/>
  <c r="D83" i="5"/>
  <c r="B83" i="5"/>
  <c r="F82" i="5"/>
  <c r="D82" i="5"/>
  <c r="B82" i="5"/>
  <c r="F81" i="5"/>
  <c r="D81" i="5"/>
  <c r="B81" i="5"/>
  <c r="F80" i="5"/>
  <c r="D80" i="5"/>
  <c r="B80" i="5"/>
  <c r="F79" i="5"/>
  <c r="D79" i="5"/>
  <c r="B79" i="5"/>
  <c r="F78" i="5"/>
  <c r="D78" i="5"/>
  <c r="B78" i="5"/>
  <c r="F77" i="5"/>
  <c r="D77" i="5"/>
  <c r="B77" i="5"/>
  <c r="F76" i="5"/>
  <c r="D76" i="5"/>
  <c r="B76" i="5"/>
  <c r="F75" i="5"/>
  <c r="D75" i="5"/>
  <c r="B75" i="5"/>
  <c r="F74" i="5"/>
  <c r="D74" i="5"/>
  <c r="B74" i="5"/>
  <c r="F73" i="5"/>
  <c r="D73" i="5"/>
  <c r="B73" i="5"/>
  <c r="F72" i="5"/>
  <c r="D72" i="5"/>
  <c r="B72" i="5"/>
  <c r="F71" i="5"/>
  <c r="D71" i="5"/>
  <c r="B71" i="5"/>
  <c r="F70" i="5"/>
  <c r="D70" i="5"/>
  <c r="B70" i="5"/>
  <c r="F69" i="5"/>
  <c r="D69" i="5"/>
  <c r="B69" i="5"/>
  <c r="F68" i="5"/>
  <c r="D68" i="5"/>
  <c r="B68" i="5"/>
  <c r="F67" i="5"/>
  <c r="D67" i="5"/>
  <c r="B67" i="5"/>
  <c r="F66" i="5"/>
  <c r="D66" i="5"/>
  <c r="B66" i="5"/>
  <c r="F65" i="5"/>
  <c r="D65" i="5"/>
  <c r="B65" i="5"/>
  <c r="F64" i="5"/>
  <c r="D64" i="5"/>
  <c r="B64" i="5"/>
  <c r="F63" i="5"/>
  <c r="D63" i="5"/>
  <c r="B63" i="5"/>
  <c r="F62" i="5"/>
  <c r="D62" i="5"/>
  <c r="B62" i="5"/>
  <c r="F61" i="5"/>
  <c r="D61" i="5"/>
  <c r="B61" i="5"/>
  <c r="F60" i="5"/>
  <c r="D60" i="5"/>
  <c r="B60" i="5"/>
  <c r="F59" i="5"/>
  <c r="D59" i="5"/>
  <c r="B59" i="5"/>
  <c r="F58" i="5"/>
  <c r="D58" i="5"/>
  <c r="B58" i="5"/>
  <c r="F57" i="5"/>
  <c r="D57" i="5"/>
  <c r="B57" i="5"/>
  <c r="F56" i="5"/>
  <c r="D56" i="5"/>
  <c r="B56" i="5"/>
  <c r="F55" i="5"/>
  <c r="D55" i="5"/>
  <c r="B55" i="5"/>
  <c r="F54" i="5"/>
  <c r="D54" i="5"/>
  <c r="B54" i="5"/>
  <c r="F53" i="5"/>
  <c r="D53" i="5"/>
  <c r="B53" i="5"/>
  <c r="F52" i="5"/>
  <c r="D52" i="5"/>
  <c r="B52" i="5"/>
  <c r="F51" i="5"/>
  <c r="D51" i="5"/>
  <c r="B51" i="5"/>
  <c r="F50" i="5"/>
  <c r="D50" i="5"/>
  <c r="B50" i="5"/>
  <c r="F49" i="5"/>
  <c r="D49" i="5"/>
  <c r="B49" i="5"/>
  <c r="F48" i="5"/>
  <c r="D48" i="5"/>
  <c r="B48" i="5"/>
  <c r="F47" i="5"/>
  <c r="D47" i="5"/>
  <c r="B47" i="5"/>
  <c r="F46" i="5"/>
  <c r="D46" i="5"/>
  <c r="B46" i="5"/>
  <c r="F45" i="5"/>
  <c r="D45" i="5"/>
  <c r="B45" i="5"/>
  <c r="F44" i="5"/>
  <c r="D44" i="5"/>
  <c r="B44" i="5"/>
  <c r="F43" i="5"/>
  <c r="D43" i="5"/>
  <c r="B43" i="5"/>
  <c r="F42" i="5"/>
  <c r="D42" i="5"/>
  <c r="B42" i="5"/>
  <c r="F41" i="5"/>
  <c r="D41" i="5"/>
  <c r="B41" i="5"/>
  <c r="F40" i="5"/>
  <c r="D40" i="5"/>
  <c r="B40" i="5"/>
  <c r="F39" i="5"/>
  <c r="D39" i="5"/>
  <c r="B39" i="5"/>
  <c r="F38" i="5"/>
  <c r="D38" i="5"/>
  <c r="B38" i="5"/>
  <c r="F37" i="5"/>
  <c r="D37" i="5"/>
  <c r="B37" i="5"/>
  <c r="F36" i="5"/>
  <c r="D36" i="5"/>
  <c r="B36" i="5"/>
  <c r="F35" i="5"/>
  <c r="D35" i="5"/>
  <c r="B35" i="5"/>
  <c r="F34" i="5"/>
  <c r="D34" i="5"/>
  <c r="B34" i="5"/>
  <c r="F33" i="5"/>
  <c r="D33" i="5"/>
  <c r="B33" i="5"/>
  <c r="F32" i="5"/>
  <c r="D32" i="5"/>
  <c r="B32" i="5"/>
  <c r="F31" i="5"/>
  <c r="D31" i="5"/>
  <c r="B31" i="5"/>
  <c r="F30" i="5"/>
  <c r="D30" i="5"/>
  <c r="B30" i="5"/>
  <c r="F29" i="5"/>
  <c r="D29" i="5"/>
  <c r="B29" i="5"/>
  <c r="F28" i="5"/>
  <c r="D28" i="5"/>
  <c r="B28" i="5"/>
  <c r="F27" i="5"/>
  <c r="D27" i="5"/>
  <c r="B27" i="5"/>
  <c r="F26" i="5"/>
  <c r="D26" i="5"/>
  <c r="B26" i="5"/>
  <c r="F25" i="5"/>
  <c r="D25" i="5"/>
  <c r="B25" i="5"/>
  <c r="F24" i="5"/>
  <c r="D24" i="5"/>
  <c r="B24" i="5"/>
  <c r="F23" i="5"/>
  <c r="D23" i="5"/>
  <c r="B23" i="5"/>
  <c r="F22" i="5"/>
  <c r="D22" i="5"/>
  <c r="B22" i="5"/>
  <c r="F21" i="5"/>
  <c r="D21" i="5"/>
  <c r="B21" i="5"/>
  <c r="F20" i="5"/>
  <c r="D20" i="5"/>
  <c r="B20" i="5"/>
  <c r="F19" i="5"/>
  <c r="D19" i="5"/>
  <c r="B19" i="5"/>
  <c r="F18" i="5"/>
  <c r="D18" i="5"/>
  <c r="B18" i="5"/>
  <c r="F17" i="5"/>
  <c r="D17" i="5"/>
  <c r="B17" i="5"/>
  <c r="F16" i="5"/>
  <c r="D16" i="5"/>
  <c r="B16" i="5"/>
  <c r="F15" i="5"/>
  <c r="D15" i="5"/>
  <c r="B15" i="5"/>
  <c r="F14" i="5"/>
  <c r="D14" i="5"/>
  <c r="B14" i="5"/>
  <c r="F13" i="5"/>
  <c r="D13" i="5"/>
  <c r="B13" i="5"/>
  <c r="F12" i="5"/>
  <c r="D12" i="5"/>
  <c r="B12" i="5"/>
  <c r="F11" i="5"/>
  <c r="D11" i="5"/>
  <c r="B11" i="5"/>
  <c r="F10" i="5"/>
  <c r="D10" i="5"/>
  <c r="B10" i="5"/>
  <c r="F9" i="5"/>
  <c r="D9" i="5"/>
  <c r="B9" i="5"/>
  <c r="F8" i="5"/>
  <c r="D8" i="5"/>
  <c r="B8" i="5"/>
  <c r="F7" i="5"/>
  <c r="D7" i="5"/>
  <c r="B7" i="5"/>
  <c r="F6" i="5"/>
  <c r="D6" i="5"/>
  <c r="B6" i="5"/>
  <c r="F5" i="5"/>
  <c r="D5" i="5"/>
  <c r="B5" i="5"/>
  <c r="F4" i="5"/>
  <c r="D4" i="5"/>
  <c r="B4" i="5"/>
  <c r="F3" i="5"/>
  <c r="D3" i="5"/>
  <c r="B3" i="5"/>
  <c r="F2" i="5"/>
  <c r="D2" i="5"/>
  <c r="B2" i="5"/>
  <c r="B13" i="3"/>
  <c r="B12" i="3"/>
  <c r="B11" i="3"/>
  <c r="B10" i="3"/>
  <c r="B9" i="3"/>
  <c r="B8" i="3"/>
  <c r="B7" i="3"/>
  <c r="B6" i="3"/>
  <c r="B5" i="3"/>
  <c r="B4" i="3"/>
  <c r="B3" i="3"/>
  <c r="B2" i="3"/>
  <c r="K1" i="12" l="1" a="1"/>
  <c r="K1" i="1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<sst xmlns="http://schemas.openxmlformats.org/spreadsheetml/2006/main" count="4424" uniqueCount="972">
  <si>
    <t>Diretriz</t>
  </si>
  <si>
    <t>Objetivo</t>
  </si>
  <si>
    <t>Indicador da Meta</t>
  </si>
  <si>
    <t>Numero da meta</t>
  </si>
  <si>
    <t>1.1</t>
  </si>
  <si>
    <t>1.2</t>
  </si>
  <si>
    <t>1.3</t>
  </si>
  <si>
    <t>2.1</t>
  </si>
  <si>
    <t>2.2</t>
  </si>
  <si>
    <t>2.3</t>
  </si>
  <si>
    <t>2.4</t>
  </si>
  <si>
    <t>2.5</t>
  </si>
  <si>
    <t>Unidade de Medida</t>
  </si>
  <si>
    <t>3.1</t>
  </si>
  <si>
    <t>3.1.1</t>
  </si>
  <si>
    <t>3.2</t>
  </si>
  <si>
    <t>3.2.1</t>
  </si>
  <si>
    <t>3.3.1</t>
  </si>
  <si>
    <t>3.3</t>
  </si>
  <si>
    <t>3.1.2</t>
  </si>
  <si>
    <t>3.1.3</t>
  </si>
  <si>
    <t>3.1.4</t>
  </si>
  <si>
    <t>3.1.5</t>
  </si>
  <si>
    <t>3.1.6</t>
  </si>
  <si>
    <t>3.2.2</t>
  </si>
  <si>
    <t>3.2.3</t>
  </si>
  <si>
    <t>3.3.2</t>
  </si>
  <si>
    <t>3.3.3</t>
  </si>
  <si>
    <t>4.1</t>
  </si>
  <si>
    <t>4.1.1</t>
  </si>
  <si>
    <t>4.1.2</t>
  </si>
  <si>
    <t>4.1.3</t>
  </si>
  <si>
    <t>4.1.4</t>
  </si>
  <si>
    <t>Número da Diretriz</t>
  </si>
  <si>
    <t>Número do Objeto</t>
  </si>
  <si>
    <t>1.1.1</t>
  </si>
  <si>
    <t>1.1.2</t>
  </si>
  <si>
    <t>1.1.3</t>
  </si>
  <si>
    <t>1.1.4</t>
  </si>
  <si>
    <t>1.1.5</t>
  </si>
  <si>
    <t>1.1.6</t>
  </si>
  <si>
    <t>1.1.7</t>
  </si>
  <si>
    <t>1.1.8</t>
  </si>
  <si>
    <t>1.1.9</t>
  </si>
  <si>
    <t>1.1.10</t>
  </si>
  <si>
    <t>1.1.11</t>
  </si>
  <si>
    <t>1.1.12</t>
  </si>
  <si>
    <t>1.1.13</t>
  </si>
  <si>
    <t>1.2.1</t>
  </si>
  <si>
    <t>1.2.3</t>
  </si>
  <si>
    <t>1.2.4</t>
  </si>
  <si>
    <t>1.2.5</t>
  </si>
  <si>
    <t>1.2.6</t>
  </si>
  <si>
    <t>1.2.7</t>
  </si>
  <si>
    <t>1.3.1</t>
  </si>
  <si>
    <t>1.3.2</t>
  </si>
  <si>
    <t>1.3.3</t>
  </si>
  <si>
    <t>1.3.4</t>
  </si>
  <si>
    <t>2.1.1</t>
  </si>
  <si>
    <t>2.1.2</t>
  </si>
  <si>
    <t>2.1.3</t>
  </si>
  <si>
    <t>2.1.4</t>
  </si>
  <si>
    <t>2.1.5</t>
  </si>
  <si>
    <t>2.1.6</t>
  </si>
  <si>
    <t>2.1.7</t>
  </si>
  <si>
    <t>2.1.8</t>
  </si>
  <si>
    <t>2.1.9</t>
  </si>
  <si>
    <t>2.1.10</t>
  </si>
  <si>
    <t>2.2.1</t>
  </si>
  <si>
    <t>2.2.2</t>
  </si>
  <si>
    <t>2.2.3</t>
  </si>
  <si>
    <t>2.3.1</t>
  </si>
  <si>
    <t>2.3.2</t>
  </si>
  <si>
    <t>2.3.3</t>
  </si>
  <si>
    <t>2.3.4</t>
  </si>
  <si>
    <t>2.4.1</t>
  </si>
  <si>
    <t>2.4.2</t>
  </si>
  <si>
    <t>2.5.1</t>
  </si>
  <si>
    <t>2.5.2</t>
  </si>
  <si>
    <t>1.2.2</t>
  </si>
  <si>
    <t>Descrição da Meta</t>
  </si>
  <si>
    <t>Valor da Meta Planejada do Ano</t>
  </si>
  <si>
    <t>Valor da Meta Planejada da PES</t>
  </si>
  <si>
    <t>Número da Atividade</t>
  </si>
  <si>
    <t>Descrição da Atividade</t>
  </si>
  <si>
    <t>1.1.1.1</t>
  </si>
  <si>
    <t>Realizar apoio técnico, através de webconferência, monitoramentos e visitas técnica, objetivando o incentivo dos municípios com cobertura menor que 80% a ampliarem a cobertura de Atenção Primaria em Saúde (APS) do estado através do cadastro populacional do território coberto pelas equipes de Saúde da Família, equipes de Saúde da Família Ribeirinha, equipes de Consultório na Rua.</t>
  </si>
  <si>
    <t>1.1.1.2</t>
  </si>
  <si>
    <t>Realizar 03 Capacitações macrorregionais objetivando o incentivo e a implantação de novas Estratégias Saúde da Família/Estratégia Saúde da Família Ribeirinha, Equipe de Atenção Primária, Equipe Multidisciplinar – e-Multi, Estratégia Consultório na Rua, Programa Mais Médicos, Programa Academia da Saúde, Incentivo à Atividade Física.</t>
  </si>
  <si>
    <t>1.1.1.3</t>
  </si>
  <si>
    <t>Realizar 03 webnários macrorregionais objetivando a adesão, ampliação e fortalecimento do Programa Saúde na Escola no ciclo 2025-2026.</t>
  </si>
  <si>
    <t>1.1.1.4</t>
  </si>
  <si>
    <t>Prestar Apoio técnico aos municípios fragilizados em relação aos indicadores da APS, quanto ao registro das atividades realizadas ou subnotificadas no âmbito da Atenção Primaria em Saúde, no Sistema E-SUS e SISAB, através de webconferências e visitas in loco.</t>
  </si>
  <si>
    <t>1.1.1.5</t>
  </si>
  <si>
    <t>Realizar 01 Seminário objetivando ampliação do número de escolas pactuadas do Programa Saúde na Escola (PSE) no ciclo 2025-2026.</t>
  </si>
  <si>
    <t>1.1.1.6</t>
  </si>
  <si>
    <t>Realizar monitoramento e avaliação através de oficinas presenciais e virtuais, das Equipes Multidisciplinar – e-Multi e Incentivo à atividade física – IAF credenciados e homologadas.</t>
  </si>
  <si>
    <t>1.1.1.7</t>
  </si>
  <si>
    <t>Realizar 03 Oficinas de gestão e ofertas das Práticas Integrativas Complementares em Saúde (PICS).</t>
  </si>
  <si>
    <t>1.1.1.8</t>
  </si>
  <si>
    <t>Realizar 06 oficinas de execução e monitoramento do Projeto Saúde Bem Viver: Cuidar de si e do território com PICS.</t>
  </si>
  <si>
    <t>1.1.1.9</t>
  </si>
  <si>
    <t>Realizar 01 Seminário dos projetos Linha de Cuidado e Saúde Bem Viver.</t>
  </si>
  <si>
    <t>1.1.1.10</t>
  </si>
  <si>
    <t>Realizar 02 Câmara Técnica Estadual objetivando o fortalecimento da APS.</t>
  </si>
  <si>
    <t>1.1.2.1</t>
  </si>
  <si>
    <t xml:space="preserve">Realizar Encontro Estadual de Atenção à Saúde Bucal com foco no apoio às gestões municipais para a melhoria da qualidade da oferta de serviços odontológicos. </t>
  </si>
  <si>
    <t>1.1.2.2</t>
  </si>
  <si>
    <t xml:space="preserve">Incentivar os municípios que possuem Equipes de Saúde da Família Ribeirinhas a pleitear Equipes de Saúde Bucal. </t>
  </si>
  <si>
    <t>1.1.2.3</t>
  </si>
  <si>
    <t xml:space="preserve">Realizar Oficinas Regionais, in loco ou via web, sobre a importância da Ampliação da Cobertura de Saúde Bucal na Atenção Primária em Saúde e melhora dos indicadores de desempenho </t>
  </si>
  <si>
    <t>1.1.2.4</t>
  </si>
  <si>
    <t>Realizar via web, oficina Estadual de Atenção à Saúde Bucal com foco na prevenção do câncer bucal.</t>
  </si>
  <si>
    <t>1.1.3.1</t>
  </si>
  <si>
    <t xml:space="preserve">Intensificar as atividades de qualificação através de 03 oficinas para os profissionais de Saúde previstas no Programa Cuidar de Todos, visando o fortalecimento dos processos de trabalho quanto a estratificação de riscos e novas diretrizes clinicas de pessoas com Hipertensão Arterial Sistêmica e Diabetes Mellitus para a diminuição dos indicadores referentes as Condições Crônicas. </t>
  </si>
  <si>
    <t>1.1.3.2</t>
  </si>
  <si>
    <t xml:space="preserve">Realizar 03 Oficinas de Qualificação para profissionais de saúde e coordenadores da Atenção Primária em Saúde sobre o Manejo do Pé Diabético e Educação em Diabetes nas macrorregiões de saúde </t>
  </si>
  <si>
    <t>1.1.3.3</t>
  </si>
  <si>
    <t>Realizar 03 qualificações para profissionais de saúde e coordenadores Atenção Primária em Saúde sobre o fortalecimento da Política Nacional da Saúde Integral do Homem com foco no Acesso e Acolhimento, Pré-Natal do Parceiro e Prevenção, Diagnóstico e Tratamento do Câncer de Pênis baseada na linha de cuidado do homem maranhense nas 03 Macrorregiões de Saúde.</t>
  </si>
  <si>
    <t>1.1.3.4</t>
  </si>
  <si>
    <t>Elaborar primeira etapa para a construção das Linhas de Cuidado voltadas a Política da Pessoa Idosa e Controle da Hipertensão Arterial Sistêmica e Diabetes Mellitus.</t>
  </si>
  <si>
    <t>1.1.3.5</t>
  </si>
  <si>
    <t>Realizar 03 Seminário de qualificação profissional na Avaliação Multidimensional, Violência, Promoção e Prevenção de Quedas da Pessoa Idosa para as macrorregiões de saúde.</t>
  </si>
  <si>
    <t>1.1.3.6</t>
  </si>
  <si>
    <t>Qualificar os profissionais da Atenção Primária em Saúde para Implementação da Política Nacional do Controle do Tabagismo e sensibilizar a Implantação de Consultório do Tratamento do Fumante e na Prevenção à Iniciação</t>
  </si>
  <si>
    <t>1.1.3.7</t>
  </si>
  <si>
    <t>Realizar 01 Encontro Avaliativo e Participativo do Controle do Tabagismo.</t>
  </si>
  <si>
    <t>1.1.3.8</t>
  </si>
  <si>
    <t>Acompanhar e apoiar institucionalmente os municípios no desenvolvimento de plano de ação e instrumentos de avaliação e monitoramento das ações propostas pelas Políticas da Saúde Integral do Homem a partir dos Ciclos de Vida, da Saúde da Pessoa Idosa, do Controle da Hipertensão Arterial, Diabetes Mellitus e Programa do Controle do Tabagismo.</t>
  </si>
  <si>
    <t>1.1.4.1</t>
  </si>
  <si>
    <t>Realizar 03 Oficinas por Macrorregionais de saúde para elaboração de Plano de Ação objetivando a melhoria da qualidade da assistência à saúde das pessoas privadas de liberdade, com elaboração de estratégias de enfrentamento e posterior pactuação dos fluxos assistenciais em parceria com a Secretaria de Estado de Administração Penitenciária (SEAP).</t>
  </si>
  <si>
    <t>1.1.4.2</t>
  </si>
  <si>
    <t xml:space="preserve">Realizar 01 Seminário de qualificação para os profissionais de saúde e da equipe de atenção primária prisional (EAPPS). </t>
  </si>
  <si>
    <t>1.1.4.3</t>
  </si>
  <si>
    <t xml:space="preserve">Apoiar institucionalmente através de visitas in loco as Equipes de Atenção Primária Prisional (EAPPs) e Unidades Prisionais com vistas a Fortalecer a PNAISP.	 </t>
  </si>
  <si>
    <t>1.1.5.1</t>
  </si>
  <si>
    <t>Realizar 02 Oficinas de Implantação da Linha de cuidado para Atendimento de Mulheres em Situação de Violência.</t>
  </si>
  <si>
    <t>1.1.5.2</t>
  </si>
  <si>
    <t>Pactuar com os municípios a implantação de Serviços de Referência para Atendimento de Mulheres em Situação de Violência.</t>
  </si>
  <si>
    <t>1.1.5.3</t>
  </si>
  <si>
    <t>Realizar 03 Webnários de Avaliação e Qualificação dos Indicadores de Câncer de Colo de Útero e Mama, através do Sistema de Informação do Câncer (SISCAN).</t>
  </si>
  <si>
    <t>1.1.5.4</t>
  </si>
  <si>
    <t>Realizar oficina nos municípios com maiores fragilidades dos indicadores de Câncer de Colo de Útero e Mama.</t>
  </si>
  <si>
    <t>1.1.5.5</t>
  </si>
  <si>
    <t>Realizar curso de qualificação e habilitar profissionais enfermeiros em inserção do dispositivo intrauterino (DIU) e retirada.</t>
  </si>
  <si>
    <t>1.1.5.6</t>
  </si>
  <si>
    <t>Realizar III Seminário Estadual de Saúde das Mulheres em sua Diversidade em Todos os Ciclos de Vida.</t>
  </si>
  <si>
    <t>1.1.5.7</t>
  </si>
  <si>
    <t>Monitorar os Comitês Regionais de Prevenção de Mortalidade Materna, Infantil e Fetal.</t>
  </si>
  <si>
    <t>1.1.5.8</t>
  </si>
  <si>
    <t>Realizar webnário de implementação da ficha de estratificação de risco da gestante para profissionais da Atenção Primária em Saúde (APS).</t>
  </si>
  <si>
    <t>1.1.6.1</t>
  </si>
  <si>
    <t>Realizar 8 avaliações para implementação da Iniciativa Hospital Amigo da Criança (IHAC)</t>
  </si>
  <si>
    <t>Realizar 01 workshop estadual para expansão das triagens neonatais</t>
  </si>
  <si>
    <t>Realizar 12 Formações práticas em Puericultura para Expansão do Projeto de Puericultura estadual</t>
  </si>
  <si>
    <t>Realizar 3 Oficinas de Preenchimento qualificado da caderneta de saúde da criança nas macrorregiões de saúde</t>
  </si>
  <si>
    <t>Realizar 3 Oficinas de Cuidado na primeira semana de vida do recém-nascido nos municípios com altas taxas de mortalidade neonatal precoce</t>
  </si>
  <si>
    <t>Realizar 01 forúm para discussão da Saúde dos Adolescentes na Atenção Primária em Saúde</t>
  </si>
  <si>
    <t>Realizar 02 Oficinas para Qualificação do Manejo do Recém-nascido de risco na Atenção Primária em Saúde em municípios com altas taxas de mortalidade infantil</t>
  </si>
  <si>
    <t>Realizar 01 curso da Estratégia da Atenção Integral a Doenças Prevalentes na Infância (AIDPI) em municípios com alta taxa de mortalidade infantil por causas sensíveis à atenção primária </t>
  </si>
  <si>
    <t>Elaborar o Relatório Situacional dos Programas e das condições de alimentação e nutrição de Crianças Menores de 10 Anos e o Relatório Situacional das Condições de Alimentação e Nutrição da População Adulta do Estado do Maranhão, para divulgação e apoio aos gestores municipais de saúde e na Comissão Intergestores Bipartite (CIB).  </t>
  </si>
  <si>
    <t>Apoiar tecnicamente a construção do plano de ação e monitoramento dos indicadores, nos municípios com maior prevalência de má-nutrição em crianças menores de 5 anos.</t>
  </si>
  <si>
    <t>Realizar 2º Encontro estadual, para a melhoria da qualidade de acompanhamento das condicionalidades do Programa Bolsa Família na Saúde e das ações e estratégias de Alimentação e Nutrição na Atenção Primária em Saúde.</t>
  </si>
  <si>
    <t>Apoiar tecnicamente através do monitoramento de indicadores, capacitação e elaboração de materiais instrutivos, os municípios da região metropolitana de São Luís - MA, para implementação das ações pactuadas da Linha de Cuidado Regional das Pessoas com Sobrepeso e Obesidade do Maranhão. </t>
  </si>
  <si>
    <t>Apoiar a formação de multiplicadores em Vigilância Alimentar e Nutricional nos Diferentes Ciclos da Vida, por capacitação continuada.</t>
  </si>
  <si>
    <t>Realizar 01 Seminário para apresentação da Política Estadual de Saúde Integral das Populações do Campo, da Floresta e das Águas.</t>
  </si>
  <si>
    <t>Apoiar institucionalmente os municípios visando a implantação e implementação da Política Estadual de Saúde Integral LGBTI+ por meio de ações de qualificação de gestores, profissionais e movimento sociais.</t>
  </si>
  <si>
    <t>Fortalecer as Políticas de Promoção da Equidade em Saúde por meio de ações de educação em Saúde com Webnários, Oficinas, Seminário e Escuta regionalizada.</t>
  </si>
  <si>
    <t>Apoiar institucionalmente os municípios visando a implantação/implementação da Política Estadual da População Negra, Comunidades Tradicionais de Matriz Africana e Quilombola no processo de implantação da Políticas e seus respectivos planos municipais de saúde dessa população.</t>
  </si>
  <si>
    <t>Fortalecer a Implementação da Política Nacional de Atenção à Saúde dos Povos Indígenas nos municípios por meio da Ações de Qualificação dos atores envolvidos no cuidado humanizado e integrado.</t>
  </si>
  <si>
    <t>Apoiar a Implementação das Políticas Nacionais de População em Situação de Rua, População de Pessoas Albinas e Ciganas nos munícipios através de oficinas integradas com foco nos profissionais da Atenção Primária.</t>
  </si>
  <si>
    <t>Formar equipe de tutores estaduais da Força Estadual de Saúde para execução da metodologia da planificação e fortalecer os grupos condutores.</t>
  </si>
  <si>
    <t>Ofertar atividades de educação permanente em saúde para fortalecimento das linhas de cuidado das condições crônicas na metodologia da Planificação da Atenção à Saúde pela Força Estadual de Saúde em parceria com os departamentos da SES nas macrorregiões norte, leste e sul.</t>
  </si>
  <si>
    <t>Fortalecer através da atuação das equipes da Força Estadual de Saúde (FESMA) a assistência ambulatorial, com consultas e procedimentos em municípios que estejam em situação de emergência em saúde pública e de maior vulnerabilidade (incluindo quilombola e indígena).</t>
  </si>
  <si>
    <t>Atuar em conjunto com as 19 regiões de saúde através da planificação da atenção à saúde e atuação de equipes assistenciais na redução dos indicadores de impacto propostos pelo Programa Cuidar de Todos.</t>
  </si>
  <si>
    <t>Utilizar a Telemedicina, em municípios que já aderiram e a implementaram, como mecanismo de fortalecimento das ações do programa Cuidar de Todos, facilitando o acesso à atenção especializada, reduzindo os custos com tratamento fora do domicílio (TFD) e diminuindo as distâncias geográficas com deslocamentos dos pacientes dos municípios para o serviço especializado.</t>
  </si>
  <si>
    <t xml:space="preserve">Apoiar tecnicamente municípios e seus pontos de atenção da RAPS visando a articulação da rede e qualificação do cuidado em saúde mental, por meio de visitas in loco e reuniões virtuais, utilizando os instrumentos para o acompanhamento das ações e indicadores, ofertando orientações acerca da manutenção das potencialidades e sinalizando oportunidades de melhorias. </t>
  </si>
  <si>
    <t>Realizar 06 ações formativas por meio de cursos, oficinas, seminários, treinamentos para profissionais da RAPS.</t>
  </si>
  <si>
    <t>Implantar e implementar o Sistema de Registro Epidemiológico de Usuários de Saúde Mental (SISMENTAL) nos pontos de atenção da RAPS.</t>
  </si>
  <si>
    <t xml:space="preserve">Desinstitucionalizar 10 pacientes em cumprimento de medida de segurança internados em hospitais/clínicas mediante ordem judicial para desinternação, através do retorno à família ou abrigamento.  </t>
  </si>
  <si>
    <t xml:space="preserve">Realizar 130 Avaliações Biopsicossociais de pessoas com suspeita de transtornos mentais em Conflito com a Lei demandadas pelo sistema de justiça. </t>
  </si>
  <si>
    <t>Construir 35 Planos Terapêuticos de Acompanhamento (PTA) de pessoas com transtornos mentais em conflito com a lei que cumprem medida de segurança.</t>
  </si>
  <si>
    <t>Acompanhar 220 pessoas com transtornos mentais que cumprem medidas terapêuticas, através de visitas aos pacientes e familiares.</t>
  </si>
  <si>
    <t>Realizar 03 Oficinas Regionalizadas de incentivo à implantação de Hortos Terapêuticos.</t>
  </si>
  <si>
    <t>Realizar 20 Capacitações dos profissionais da Atenção Primária à Saúde sobre o manejo, cultivo, coleta, processamento, armazenamento e utilização de plantas medicinais e fitoterápicos.</t>
  </si>
  <si>
    <t>Realizar o 2º Simpósio de Plantas Medicinais e Fitoterápicos do Maranhão.</t>
  </si>
  <si>
    <t>Realizar 19 oficinas regionais de qualificação do Programa Cuidar de Todos, com a finalidade de atingir as metas dos indicadores.</t>
  </si>
  <si>
    <t xml:space="preserve">Apoiar e monitorar os municípios e seus indicadores no âmbito do Programa Cuidar de Todos, por meio de oficinas, webinários, visitas in loco, e fórum regionalizados. </t>
  </si>
  <si>
    <t>Realizar Mostra Estadual de experiências exitosas do concurso Inova Saúde.</t>
  </si>
  <si>
    <t>Realizar Seminário Estadual de premiação dos municípios com melhores resultados nos indicadores do Programa Cuidar de Todos.</t>
  </si>
  <si>
    <t xml:space="preserve">Realizar ações de inspeção em municípios que não possuem Vigilância em Saúde Ambiental implantada. </t>
  </si>
  <si>
    <t>Realizar apoio institucional aos municípios prioritários com populações potencialmente expostas a substâncias químicas.</t>
  </si>
  <si>
    <t>Realizar apoio institucional às coordenações de vigilância em saúde Ambiental em municípios com maiores fragilidades na execução dos programas Vigiagua, Vigisolo, Vigiar e Vspea.</t>
  </si>
  <si>
    <t>Incentivar a implantação da Vigilância em Saúde Ambiental Municipal através de atividades educativas: qualificação, formação, palestras, oficinas, mobilização social, dentre outras.</t>
  </si>
  <si>
    <t>Acompanhar/ monitorar notificações de doenças, agravos e indicadores correlatos à vigilância em saúde ambiental.</t>
  </si>
  <si>
    <t xml:space="preserve">Realizar apoio matricial e/ou institucional aos Centro de Referência de Saúde do Trabalhador e da Trabalhadora (CEREST) Regionais e/ou às Instâncias da Rede Nacional de Atenção Integral à Saúde do Trabalhador e da Trabalhadora (Instâncias Regionais da SES; Núcleos de Saúde do Trabalhador e da Trabalhadora ou Equivalente, Rede de Atenção à Saúde e Referência Técnicas Municipais em Saúde do Trabalhador e da Trabalhadora). </t>
  </si>
  <si>
    <t>Realizar ações educativas de Vigilância em Saúde do Trabalhador e da Trabalhadora para profissionais da Atenção Primária e Vigilância em Saúde (qualificação, palestras, oficinas, mobilização social, e elaboração de material dentre outras).</t>
  </si>
  <si>
    <t>Acompanhar/ monitorar notificações dos agravos e indicadores em saúde do trabalhador e da trabalhadora nos sistemas de informação: SINAN, SIM, PQA-VS, SIA, Qualifica CEREST.</t>
  </si>
  <si>
    <t>Realizar apoio no processo de habilitação de novos CEREST e/ou criação de núcleos em saúde do Trabalhador nas esferas municipais e regionais.</t>
  </si>
  <si>
    <t>Realizar fiscalização, inspeções ou visitas sanitárias em ambientes e processos de trabalho.</t>
  </si>
  <si>
    <t>Realizar a Análise de Situação de Saúde do Trabalhador e da Trabalhadora (ASSTT) nas 3 Macrorregionais de saúde fortalecidas, como instrumento direcionador das ações da Política Estadual de Saúde do Trabalhador e Trabalhadora.</t>
  </si>
  <si>
    <t>Realizar ações de inspeção, fiscalização, supervisão, monitoramento e investigação em produtos e serviços de interesse sanitário.</t>
  </si>
  <si>
    <t>Controlar e distribuir receituários sob controle especial.</t>
  </si>
  <si>
    <t>Incentivar os serviços de saúde prioritários a notificar regularmente os incidentes de segurança do paciente ao sistema nacional de vigilância sanitária.</t>
  </si>
  <si>
    <t>Promover a implementação dos programas de prevenção e controle de infecção (PCIH) nos hospitais com leitos de UTI.</t>
  </si>
  <si>
    <t>Avaliar projetos arquitetônicos de interesse da Vigilância Sanitária.</t>
  </si>
  <si>
    <t>Realizar a implantação de núcleos de vigilância sanitária das unidades regionais de saúde para desenvolver as ações de vigilância sanitária, ambiental e saúde do trabalhador.</t>
  </si>
  <si>
    <t>Realizar ações educativas presenciais e virtuais (cursos, oficinas, seminários, palestras, conferências, simpósios e outros) de Vigilância Sanitária e mobilização social e educação em saúde nas 3 macrorregionais de saúde.</t>
  </si>
  <si>
    <t xml:space="preserve">Realizar as ações de regularização de agroindústrias familiares sujeitas às ações de Vigilância Sanitária. </t>
  </si>
  <si>
    <t xml:space="preserve">Realizar visitas técnicas na Rede de laboratórios que prestam serviços de saúde pública. </t>
  </si>
  <si>
    <t>Realizar eventos de educação permanente a profissionais que atuam na Rede de laboratórios: Seminário Macrorregional (2) e treinamentos teórico-práticos (34).</t>
  </si>
  <si>
    <t>Realizar exames laboratoriais relacionados às Doenças e Agravos de Notificação Compulsória.</t>
  </si>
  <si>
    <t>Monitorar a qualidade dos exames realizados pela rede de laboratorial do estado.</t>
  </si>
  <si>
    <t>Realizar diagnóstico por Exames relacionados aos produtos e ao Meio Ambiente.</t>
  </si>
  <si>
    <t>Realizar a distribuição de imunobiológicos para vacinação humana e animal, nas 18 Unidades Regionais de Saúde e Região Metropolitana</t>
  </si>
  <si>
    <t>Realizar assessoramento técnico para adesão de 3 municípios prioritários ao encoleiramento de cães, visando o controle da leishmaniose visceral canina e humana</t>
  </si>
  <si>
    <t>Promover 10.000 atendimentos de cães e gatos para prevenção de zoonoses por meio do Programa Cuidar de Todos "Saúde Animal"</t>
  </si>
  <si>
    <t>Realizar 2 pesquisas para subsidiar ações de prevenção e controle de doenças e agravos</t>
  </si>
  <si>
    <t>Acompanhar atividades dos Comitês Técnicos municipais no desenvolvimento das ações das atividades de Vacinação de Alta Qualidade (AVAQ)</t>
  </si>
  <si>
    <t>Executar ações do Comitê Estadual para eliminação da Tuberculose e de outras Doenças determinadas socialmente</t>
  </si>
  <si>
    <t>Realizar assessoramento técnico para apoiar 23 municípios prioritários com maior incidência de casos de tuberculose no fortalecimento das ações de controle da doença</t>
  </si>
  <si>
    <t>Realizar assessoramento técnico para apoiar 23 municípios prioritários visando o aumento da taxa de detecção de casos da hanseníase no estado</t>
  </si>
  <si>
    <t>Ampliar o número de unidade de saúde com Núcleos Hospitalares de Epidemiologia na Rede de Atenção à Saúde no estado</t>
  </si>
  <si>
    <t>Realizar ações de monitoramento, avaliação in loco das ações de preparação, vigilância e resposta aos eventos de saúde pública; promoção, prevenção e controle de doenças e agravos no estado</t>
  </si>
  <si>
    <t>Executar ações dos Planos de prevenção e controle de doenças transmissíveis no estado</t>
  </si>
  <si>
    <t>Fomentar ações do Plano Estadual para emergência em saúde para desastres naturais</t>
  </si>
  <si>
    <t>Realizar 3.080 necrópsias, por meio do Serviço de Verificação de Óbitos, para determinar a causa de morte natural ocorrido sem assistência médica, ou com assistência médica sem elucidação diagnóstica ou decorrente de doenças de interesse da saúde pública</t>
  </si>
  <si>
    <t>Realizar ações para promover a implantação dos postos de informações de vetores</t>
  </si>
  <si>
    <t>Promover qualificação para profissionais de saúde, base de dados, doenças transmissíveis e não transmissíveis, investigação de surtos, imunização e prevenção de doenças</t>
  </si>
  <si>
    <t>Promover eventos de mobilização social, seminários de saúde pública, congressos estaduais, campanhas de vigilância de doenças, além de workshops para melhorar o preenchimento adequado das declarações de óbito</t>
  </si>
  <si>
    <t>Realizar ações para implantação dos grupos técnicos de análise dos óbitos materno e infantil das Unidades Regionais de Saúde do estado</t>
  </si>
  <si>
    <t>Promover ações para adesão dos municípios para as ações de enfrentamento das doenças crônicas e agravos não transmissíveis</t>
  </si>
  <si>
    <t>Promover 06 oficinas nas três macrorregiões sobre novas tecnologias em prevenção combinada do HIV e outras Infecções Sexualmente Transmissíveis (IST), para profissionais de saúde, populações com maior vulnerabilidade, sociedade civil e controle Social.</t>
  </si>
  <si>
    <t>Promover 03 oficinas nas macrorregiões de qualificação das ações de vigilância epidemiológica do HIV/Aids, sífilis, Hepatites virais, Mpox e outras IST.</t>
  </si>
  <si>
    <t xml:space="preserve">Apoiar e promover com 03 ações de prevenção combinada aos profissionais e disponibilizar testagem do HIV, Sífilis, hepatites virais e outras IST no Sistema Prisional (atividades e treinamentos). </t>
  </si>
  <si>
    <t>Apoiar a implantação, por meio de oficinas e visitas técnicas, 2 Serviços Assistência Especializados (SAE), que atendem pessoas vivendo com HIV/Aids, sífilis, hepatites virais, em municípios prioritários nas políticas de ISTs/Aids e hepatites virais, nas macrorregiões.</t>
  </si>
  <si>
    <t>Realizar 08 encontros para Produzir a Linha de cuidado das sífilis e das hepatites virais, por meio de oficinas e reuniões regionalizadas.</t>
  </si>
  <si>
    <t>Realização de 20 qualificações para a rede de atenção, por meio de oficinas regionais, com foco na Certificação da Eliminação da Transmissão Vertical de HIV e/ou Sífilis, nos municípios com população maior ou igual a 50 mil habitantes.</t>
  </si>
  <si>
    <t>Realizar 2 Encontros Estaduais com 33 Municípios prioritários que recebem recurso federal/incentivo para as Políticas de ISTs/Aids e Hepatites Virais e sociedade civil.</t>
  </si>
  <si>
    <t>Realização de 06 qualificações para a rede de atenção, por meio de oficinas regionais, com foco na Política do Circuito Rápido da Aids Avançada, em 06 Serviços Assistência Especializados (SAE)</t>
  </si>
  <si>
    <t>Realizar o XVII Simpósio Internacional sobre HTLV.</t>
  </si>
  <si>
    <t>Apoiar e promover 06 ações (seminários, capacitações, encontros e dentre outros) integradas com Organizações Não Governamentais (ONGs).</t>
  </si>
  <si>
    <t>Realizar os procedimentos para aquisição do elenco e quantitativo de medicamentos/Insumos para atender os pacientes cadastrados no Componente Especializado da Assistência Farmacêutica (CEAF) e Programas das SES-MA (Elenco estadual).</t>
  </si>
  <si>
    <t>Realizar os procedimentos para aquisição de insumos do elenco estadual e quantitativo de Fórmulas Alimentares Infantis para crianças com alergia e ou intolerância alimentar – Programa Leite Especial.</t>
  </si>
  <si>
    <t>Reestruturação Física do espaço do Programa Leite Especial.</t>
  </si>
  <si>
    <t>Descentralizar a Farmácia Estadual de Medicamentos Especializados - FEME para os municípios de Santa Inês e Presidente Dutra.</t>
  </si>
  <si>
    <t> Aquisição de medicamentos do Componente Básico da Assistência Farmacêutica para pessoas privadas de liberdade, conforme estabelecido na portaria GM/MS nº 3.528, de 30 de outubro de 2018.</t>
  </si>
  <si>
    <t>Implantar 02 serviços com foco no hipertenso e diabético em 02 policlínicas da rede estadual, uma na macrorregião Leste e outra na macrorregião Sul.</t>
  </si>
  <si>
    <t>Implantar 02 sistemas de gestão eletrônica de prontuário em 02 policlínicas para qualificar o atendimento e reduzir o tempo de espera.</t>
  </si>
  <si>
    <t>Fomentar a implantação de espaços para terapia hormonal assistida em 10 municípios.</t>
  </si>
  <si>
    <t>Realizar 02 oficinas para capacitação de profissionais da Atenção Primária e Secundária sobre a saúde da população transexual.</t>
  </si>
  <si>
    <t>Implantar 02 serviços de atendimento pós-alta imediata ao Acidente Vascular Cerebral (AVC) em 02 ambulatórios de referência, um na macrorregião Sul e outro na macrorregião Norte.</t>
  </si>
  <si>
    <t>Implementar 18 Núcleos de Segurança do Paciente (NPS) nas policlínicas da rede estadual de saúde.</t>
  </si>
  <si>
    <t>Implantar 01 Serviço Ambulatorial de referência para acompanhamento de Doenças Inflamatórias Intestinais (DII).</t>
  </si>
  <si>
    <t>Implantar 02 serviços de atendimento a fibromialgia para as policlínicas de Caxias e Imperatriz.</t>
  </si>
  <si>
    <t>Implantar 01 serviço de Reabilitação Auditiva no Centro de Reabilitação da Cidade Operária.</t>
  </si>
  <si>
    <t>Implantar 01 serviço de Oficina Ortopédica vinculada ao CER da Cidade Operária, ampliando a oferta de órteses, próteses e meios auxiliares de locomoção.</t>
  </si>
  <si>
    <t>Realizar 01 seminário voltado para o fortalecimento da rede de cuidados às pessoas com deficiência.</t>
  </si>
  <si>
    <t>Implantar 01 serviço de saúde mental por meio da migração do Centro de Atenção Psicossocial Álcool e Drogas (CAPS AD) para CAPS AD III 24 horas na macrorregião Norte, conforme Portaria nº 130, de 26 de janeiro de 2012.</t>
  </si>
  <si>
    <t>Realizar 02 oficinas para avaliação dos indicadores de qualidade das unidades psicossociais da rede estadual, visando a melhoria contínua e atualizações do cenário nacional da Política de Saúde Mental, Álcool e Outras Drogas.</t>
  </si>
  <si>
    <t>Reestruturar o perfil do Hospital Nina Rodrigues, com acompanhamento técnico para assegurar a integração ao modelo de cuidado psicossocial com intuito de desinstitucionalização gradual.</t>
  </si>
  <si>
    <t>Ampliar para 760 vagas a Rede Estadual de Terapia Renal Substitutiva.</t>
  </si>
  <si>
    <t>Habilitar 03 serviços de Ambulatórios Especializados em Doença Renal Crônica em estágios 4 e 5 (pré-diálise).</t>
  </si>
  <si>
    <t>Prestar 2.230 atendimentos às usuárias que buscam os serviços nos Centros Especializados em Planejamento Reprodutivo.</t>
  </si>
  <si>
    <t>Prestar 6.160 atendimentos às gestantes de alto risco que buscam os serviços de pré-natal ofertados pelos ambulatórios especializados hospitalares obstétrico e das policlínicas.</t>
  </si>
  <si>
    <t>Prestar 3.870 atendimentos aos egressos de unidades neonatais aos serviços de seguimento ao recém-nascidos (follow up) nos ambulatórios especializados hospitalares pediátrico e das policlínicas.</t>
  </si>
  <si>
    <t>Realizar 01 encontro referente à Segurança do Paciente com profissionais de estabelecimentos hospitalares.</t>
  </si>
  <si>
    <t>Implementar 01 protocolo das metas internacionais de Segurança do Paciente nos seis hospitais macrorregionais.</t>
  </si>
  <si>
    <t>Realizar 01 Simpósio Estadual de Qualidade nos Serviços de Saúde do Maranhão para discussões acerca de temáticas que perpassam o atendimento hospitalar.</t>
  </si>
  <si>
    <t>Implementar critérios de acompanhamento da estratégia QUALINEO (Qualificação do Cuidado Neonatal de Risco) em 08 unidades neonatais estaduais.</t>
  </si>
  <si>
    <t>Realizar 129.378 triagens neonatais nos estabelecimentos de saúde com serviços de parto e nascimento de gestão estadual.</t>
  </si>
  <si>
    <t>Realizar a entrega de 4.120 próteses dentárias nas Unidades de Especialidades Odontológica -SORRIR</t>
  </si>
  <si>
    <t>Realizar 520.000 procedimentos Odontológicos na Média e Alta Complexidade.</t>
  </si>
  <si>
    <t>Realizar 06 encontros com a gestão das Unidades de Especialidades Odontológicas (SORRIR) para avaliação de indicadores e definição de ações estratégicas para a melhoria em saúde bucal.</t>
  </si>
  <si>
    <t>Monitorar taxa global de ocupação de leitos nas unidades de saúde.</t>
  </si>
  <si>
    <t>Monitorar tempo médio de permanência dos leitos complementares.</t>
  </si>
  <si>
    <t>Realizar 02 fóruns de discussão com gestores de estabelecimentos de saúde sobre indicadores assistenciais dos leitos complementares.</t>
  </si>
  <si>
    <t>Implantar o Sistema de Regulação Ambulatorial nas Unidades Estaduais de Saúde com serviços ambulatoriais.</t>
  </si>
  <si>
    <t>Realizar 12 ações para reduzir o tempo de espera nos procedimentos ambulatoriais com demanda reprimida.</t>
  </si>
  <si>
    <t>Capacitar todos os profissionais das Centrais de Marcações (Disque saúde, vivas e app).</t>
  </si>
  <si>
    <t>Reduzir em 10% o percentual de absenteísmo nos procedimentos ambulatoriais nas unidades de saúde do estado.</t>
  </si>
  <si>
    <t xml:space="preserve">Qualificar através da educação permanente os núcleos internos de regulação implantados. </t>
  </si>
  <si>
    <t>Acompanhar o cumprimento dos protocolos clínicos implantados nas unidades de saúde por meio de um sistema de regulação.</t>
  </si>
  <si>
    <t>Implantar 01 painel de bordo para análise situacional de leitos.</t>
  </si>
  <si>
    <t>Implantar 01 novo sistema de regulação.</t>
  </si>
  <si>
    <t>Acompanhar o cumprimento dos protocolos clínicos implantados e fluxos de transporte nas unidades de saúde por meio de um sistema de regulação.</t>
  </si>
  <si>
    <t>Atender solicitações de transporte aéreo e terrestre de pacientes para leitos da rede estadual de saúde.</t>
  </si>
  <si>
    <t>Ampliar em 01 USA, frota de Unidade de Suporte Avançado (USA).</t>
  </si>
  <si>
    <t>Realizar 01 fórum sobre transporte inter-hospitalar.</t>
  </si>
  <si>
    <t>Disponibilizar ajuda de custo para 75.690 pacientes devidamente cadastrados no TFD, através de diárias para alimentação e pernoite, bem como para acompanhante quando necessário.</t>
  </si>
  <si>
    <t>Capacitar e apoiar as áreas técnicas nas 19 regiões de saúde, para resolutividade de processos de TFD.</t>
  </si>
  <si>
    <t>Acompanhar a implantação do serviço social para consulta especializada nas 19 regiões de saúde de forma a garantir o encaminhamento efetivo do paciente de TFD. </t>
  </si>
  <si>
    <t>Formalizar e analisar 3.000 processos de TFD.</t>
  </si>
  <si>
    <t>Disponibilizar o deslocamento dos pacientes devidamente cadastrados no TFD, através de emissões de 18.000 bilhetes aéreos e/ou terrestres, bem como para acompanhantes quando necessário.</t>
  </si>
  <si>
    <t>Garantir 10 benefícios de assistência funerária aos pacientes devidamente cadastrados no TFD, através do deslocamento aéreo e/ou terrestre, desembaraço de documentação para embarque, vestimentas, preparação do corpo e urna funerária.</t>
  </si>
  <si>
    <t>Contratualizar 56 estabelecimentos de saúde de natureza pública, privada e/ou conveniadas, que realizam atendimentos às pessoas que demandam os serviços de assistência de média e alta complexidade ambulatorial e hospitalar de forma complementar à rede de Saúde estadual.</t>
  </si>
  <si>
    <t>Acompanhar a produção mensal do atendimento ambulatorial e hospitalar de média e alta complexidade aos usuários do SUS por intermédio dos estabelecimentos de saúde de natureza privadas e filantrópica contratualizados.</t>
  </si>
  <si>
    <t>Avaliar e monitorar a produção apresentada pelos Serviços de Oncologia CACON e UNACON Contratualizadas.</t>
  </si>
  <si>
    <t>Monitorar a produção apresentada pelos Serviços de Oncologia CACON e UNACON de natureza pública municipal.</t>
  </si>
  <si>
    <t>Avaliar e monitorar metas estabelecidas para as Unidades de Saúde especializadas em Terapia Renal Substitutiva (TRS) contratualizados.</t>
  </si>
  <si>
    <t>Monitorar metas estabelecidas para as Unidades de Saúde especializadas em Terapia Renal Substitutiva (TRS) sob gestão municipal.</t>
  </si>
  <si>
    <t>Monitorar a execução das metas físicas realizadas pelas Associações de Pais e Amigos dos Excepcionais (APAE) contratualizadas.</t>
  </si>
  <si>
    <t>Monitorar a execução das metas físicas realizadas pelas Associações de Pais e Amigos dos Excepcionais (APAE) sob gestão municipal.</t>
  </si>
  <si>
    <t>Acompanhar e monitorar a melhoria e continuidade das bases descentralizadas dos Serviços Móvel de Urgência e Emergência habilitados pelo Ministério da Saúde e aprovado pelo Estado.</t>
  </si>
  <si>
    <t>Acompanhar os relatórios de atividades e funcionamento das Centrais de Regulação das Urgências (CRU) e Bases Descentralizadas dos Serviços Móvel de Urgência e Emergência aprovados pelo Estado.</t>
  </si>
  <si>
    <t>Capacitar 45 novos médicos em determinação em morte encefálica da capital e interior.</t>
  </si>
  <si>
    <t>Capacitar 50 novos profissionais da equipe multiprofissional para Coordenação de CIHDOTTs da capital e interior.</t>
  </si>
  <si>
    <t>Implantar novas Comissões Intra-Hospitalares de Doação de Órgãos e Tecidos para Transplantes em 04 estabelecimentos de saúde no estado.</t>
  </si>
  <si>
    <t>Capacitar 260 novos profissionais da saúde de áreas críticas para notificação de morte encefálica e coração parado.</t>
  </si>
  <si>
    <t>Realizar 1.500 buscas ativa de pacientes suspeitos de morte encefálica e óbitos de coração parado.</t>
  </si>
  <si>
    <t>Capacitar 100 novos profissionais para a Comunicação de Notícias Difíceis na capital e interior.</t>
  </si>
  <si>
    <t>Capacitar 100 novos profissionais para a Manutenção do Potencial Doador na capital e interior.</t>
  </si>
  <si>
    <t>Capacitar 50 novos profissionais das comissões internas de transplantes para a entrevista familiar em doação de órgãos e tecidos da capital e interior.</t>
  </si>
  <si>
    <t>Implantar a Organização de Procura de Órgãos (OPO) em Imperatriz.</t>
  </si>
  <si>
    <t>Garantir em 90% o número de doadores efetivos de órgãos após a autorização familiar, por meio da qualificação da manutenção do potencial doador.</t>
  </si>
  <si>
    <t>Aumentar em 250 número de transplante de córnea, por meio da equipe estadual de captação de córnea.</t>
  </si>
  <si>
    <t>Monitorar 100% do número de consultas ambulatoriais para transplantes.</t>
  </si>
  <si>
    <t>Captar candidatos a doação de sangue, adotando estratégias como campanhas e educação.</t>
  </si>
  <si>
    <t>Garantir a coleta de bolsas de sangue, a partir da manutenção dos insumos.</t>
  </si>
  <si>
    <t>Realizar a produção de hemocomponentes.</t>
  </si>
  <si>
    <t xml:space="preserve">Realizar consultas hematológicas </t>
  </si>
  <si>
    <t>Realizar consultas pediátricas.</t>
  </si>
  <si>
    <t>Realizar consultas em clínica médica.</t>
  </si>
  <si>
    <t>Realizar atendimentos de serviço social a pessoas com hemopatias.</t>
  </si>
  <si>
    <t>Realizar atendimentos odontológicos a pessoas com hemopatias.</t>
  </si>
  <si>
    <t>Realizar atendimentos psicológicos a pessoas com hemopatias.</t>
  </si>
  <si>
    <t>Realizar atendimentos farmacêuticos a pessoas com hemopatias.</t>
  </si>
  <si>
    <t>Realizar atendimentos fisioterápicos a pessoas com hemopatias.</t>
  </si>
  <si>
    <t>Realizar atendimentos de nutrição a pessoas com hemopatias.</t>
  </si>
  <si>
    <t>Realizar atendimentos do enfermeiro a pessoas com hemopatias.</t>
  </si>
  <si>
    <t>Realizar testes sorológicos em amostra de doadores e pessoas com hemopatias.</t>
  </si>
  <si>
    <t>Realizar exames imunohematológicos em amostra de doadores e pessoas com hemopatias.</t>
  </si>
  <si>
    <t>Realizar exames hematológicos em amostra de doadores e pessoas com hemopatias.</t>
  </si>
  <si>
    <t>Realizar exames bioquímicos em amostra de pessoas com hemopatias.</t>
  </si>
  <si>
    <t>Realizar exames microbiológicos em amostras de doadores.</t>
  </si>
  <si>
    <t>Implementar o serviço de mamografia na macrorregião leste</t>
  </si>
  <si>
    <t xml:space="preserve">Implantar o exame de medicina nuclear para diagnóstico preciso e tratamento na macrorregião norte. </t>
  </si>
  <si>
    <t>Garantir a realização de biópsias conforme tabela SIGTAP nos hospitais de referência da rede estadual de saúde</t>
  </si>
  <si>
    <t xml:space="preserve">Ampliar os exames de colonoscopia para rastreio do câncer colorretal nas macrorregionais </t>
  </si>
  <si>
    <t>Ampliar quantitativo para 1.500 Cirurgias Oncológicas nas Unidades Hospitalares do estado. </t>
  </si>
  <si>
    <t>Implantar o serviço de Radioterapia anexo do Hospital de Oncologia do Maranhão Dr. Tarquínio Lopes Filho.</t>
  </si>
  <si>
    <t>Adequar a estrutura física CAPS AD III - João Paulo.</t>
  </si>
  <si>
    <t>Implantar Oficina Ortopédica – ECR.</t>
  </si>
  <si>
    <t>Ampliar e modernizar Central de Material Esterilizado - CME em Itapecuru.</t>
  </si>
  <si>
    <t>Ampliar e modernizar Hospital Materno Infantil de Imperatriz.</t>
  </si>
  <si>
    <t>Implantar Hospital de Região Tocantina (Imperatriz).</t>
  </si>
  <si>
    <t>Implantar Hemonúcleo Colinas.</t>
  </si>
  <si>
    <t>Reformar UTI Genésio Rêgo.</t>
  </si>
  <si>
    <t>Reformar CME e Clínica Médica Aquiles Lisboa.</t>
  </si>
  <si>
    <t>Reformar Hospital de Referência de Doenças Tropicais- Presidente Vargas.</t>
  </si>
  <si>
    <t>Adequar a estrutura física do Centro de Especialidades Ninar atendendo pessoas com deficiência física, intelectual e síndromes raras.</t>
  </si>
  <si>
    <t>Reestruturar o espaço físico do Programa Leite Especial na Unidade de atendimento Hospital Infantil Dr. Juvêncio Matos.</t>
  </si>
  <si>
    <t>Mapear a situação atual da rede de saúde, identificando necessidades e lacunas em termos de equipamentos e mobiliário hospitalar.</t>
  </si>
  <si>
    <t>Participar do processo de construção do PAC 2026 na etapa de planejamento de aquisição de equipamentos, mobiliários e instrumentais.</t>
  </si>
  <si>
    <t>Equipar a Oficina Ortopédica.</t>
  </si>
  <si>
    <t>Equipar o Hospital da Região Tocantina (Imperatriz).</t>
  </si>
  <si>
    <t>Equipar o Hemonúcleo Colinas.</t>
  </si>
  <si>
    <t>Modernização dos equipamentos da UTI Genésio Rêgo.</t>
  </si>
  <si>
    <t>Equipar o Centro de Hemodiálise de Barra do Corda.</t>
  </si>
  <si>
    <t>Equipar o Centro de Hemodiálise de Santa Luzia.</t>
  </si>
  <si>
    <t>Equipar o Centro de Hemodiálise de Colinas.</t>
  </si>
  <si>
    <t>Modernizar e Equipar o Ampliação e modernização Hospital Materno Infantil de Imperatriz.</t>
  </si>
  <si>
    <t>Modernização das 125 unidades de saúde da Rede Estadual do Maranhão (envio de novos equipamentos, mobiliários e instrumentais cirúrgicos).</t>
  </si>
  <si>
    <t>Doação de equipamentos para estruturação e modernização de hospitais municipais.</t>
  </si>
  <si>
    <t>Atender solicitações sobre equipamentos, mobílias e/ou instrumentais.</t>
  </si>
  <si>
    <t>Executar metas físicas e financeiras do PAC (Plano Anual de Compras) buscar um investimento em equipamentos, mobiliários e instrumentais hospitalares e serviços.</t>
  </si>
  <si>
    <t>Realizar 09 oficinas nas regiões de saúde para apoio aos municípios para elaboração dos Instrumentos de Planejamento.</t>
  </si>
  <si>
    <t>Realizar 09 oficinas de operacionalização do Sistema DigiSUS Gestor - Módulo Planejamento.</t>
  </si>
  <si>
    <t>Realizar 02 oficinas de planejamento estratégico, monitoramento e avaliação com áreas técnicas.</t>
  </si>
  <si>
    <t>Realizar oficina sobre Sistema de Informações sobre Orçamentos Públicos em Saúde (SIOPS).</t>
  </si>
  <si>
    <t>Realizar oficina para construção da Programação Anual de Saúde de 2026.</t>
  </si>
  <si>
    <t>Realizar oficinas de DOMI e modelagem da rede.</t>
  </si>
  <si>
    <t>Realizar Auditoria de conformidade dos Protocolos Clínicos e Diretrizes Terapêuticas em Autorizações de Internações Hospitalares (AIHs) e Autorizações de Procedimentos Ambulatoriais de Alta Complexidade (APACs) apresentadas.</t>
  </si>
  <si>
    <t>Realizar Auditoria de Avaliação do Desempenho Assistencial na Rede Estadual de Saúde.</t>
  </si>
  <si>
    <t>Realizar Auditoria de Avaliação de Indicadores de Morbimortalidade.</t>
  </si>
  <si>
    <t>Realizar Fortalecimento da cooperação entre o SNA Estadual e a Gestão Municipal.</t>
  </si>
  <si>
    <t>Realizar Auditoria de Apuração e Resposta a Denúncias.</t>
  </si>
  <si>
    <t>Realizar visita técnica para inclusão e atualização do Cadastro Nacional de Estabelecimentos de Saúdes (CNES) das Unidades de Saúde de Média e Alta Complexidade.</t>
  </si>
  <si>
    <t>Acompanhar e monitorar as Ações e Serviços da Rede de Atenção às Urgências (UPA, SAMU, Atenção Domiciliar, Hospitais de Porta de Entrada e Leitos de Retaguarda).</t>
  </si>
  <si>
    <t>Realizar monitoramento mensal, pelos gestores e fiscais de contratos, da execução das programações pactuadas e ações previstas nos contratos e convênios firmados pela Secretaria de Estado da Saúde com os estabelecimentos da Rede Privada e Filantrópica, que prestam serviços de média e alta complexidade.</t>
  </si>
  <si>
    <t>Verificar mensalmente o cumprimento das metas pactuadas para a prestação de serviços hospitalares nas Unidades de Saúde geridas por Organização da Sociedade Civil de Interesse Público (OSCIP), Organização Social (OS) e Empresa Maranhense de Serviços Hospitalares (EMSERH).</t>
  </si>
  <si>
    <t>Realizar o monitoramento mensal e verificar a evolução dos indicadores assistenciais previstos nos Planos de Trabalho firmados entre a Secretaria de Estado da Saúde e OSCIPs, OS e EMSERH.</t>
  </si>
  <si>
    <t>Orientar e apoiar a implantação de Ouvidorias do SUS no estado junto aos municípios que façam a adesão à Rede de Ouvidorias.</t>
  </si>
  <si>
    <t>Realizar capacitações de servidores das secretarias municipais de saúde no Novo Sistema OuvidorSUS.</t>
  </si>
  <si>
    <t>Realizar visitas para monitoramento dos municípios com Ouvidorias Implantadas e em fase de implantação.</t>
  </si>
  <si>
    <t>Implantar o sistema ApuraSUS em estabelecimentos de saúde.</t>
  </si>
  <si>
    <t>Desenvolver e implementar plataformas de gestão colaborativas, voltada para gestores, profissionais e cidadãos. </t>
  </si>
  <si>
    <t>Fomentar a transparência, inovação e gestão participativa das ações e serviços do Sistema Único de Saúde (SUS) por meio de seminários e oficinas técnicas aos profissionais de saúde e gestores. </t>
  </si>
  <si>
    <t> Ampliar o número de soluções digitais inovadoras para atendimento de demandas de educação continuada em saúde.</t>
  </si>
  <si>
    <t>Elaborar e publicar documento institucional para assegurar proteção de dados pessoais nas plataformas digitais de Tecnologia da informação e Comunicação (TIC).</t>
  </si>
  <si>
    <t>Realizar ofertas educacionais de Educação Permanente para trabalhadores/gestores e/ou usuários do SUS e sociedade civil organizada.</t>
  </si>
  <si>
    <t>Realizar ofertas educacionais de Educação em Saúde para trabalhadores e/ou usuários do SUS e sociedade civil organizada.</t>
  </si>
  <si>
    <t>Realizar IV Mostra Científica, II Congresso de Saúde Coletiva e II Congresso Cuidar de Todos.</t>
  </si>
  <si>
    <t>Realizar intercâmbio de saberes de educação e saúde para trabalhadores e/ou usuários do sus e sociedade civil organizada.</t>
  </si>
  <si>
    <t>Realizar capacitações em Hospitais e Maternidades na Iniciativa Hospital Amigo da Criança e Cuidado da Mulher para trabalhadores do SUS.</t>
  </si>
  <si>
    <t>Realizar Cursos Técnicos de Formação em Saúde.</t>
  </si>
  <si>
    <t>Ofertar 4 Oficinas de Metodologia Ativa.</t>
  </si>
  <si>
    <t>Realizar evento científico da Supervisão Acadêmica do Projeto Mais Médicos para o Brasil.</t>
  </si>
  <si>
    <t>Realizar o III Simpósio de Educação Permanente em Saúde.</t>
  </si>
  <si>
    <t>Ofertar curso de Capacitação de Redação de Artigo Científico.</t>
  </si>
  <si>
    <t xml:space="preserve">Realizar visitas de monitoramento e acompanhamento in loco dos campos de estágio da Rede Estadual. </t>
  </si>
  <si>
    <t>Realizar Seminário Estadual de Educação Popular em Saúde.</t>
  </si>
  <si>
    <t>Capacitar trabalhadores da saúde quanto ao manuseio da plataforma de ensino da Escola de Saúde Pública.</t>
  </si>
  <si>
    <t>Capacitar profissionais da Escola de Saúde Pública quanto ao desenvolvimento de software e tecnologias educacionais.</t>
  </si>
  <si>
    <t>Avaliar projetos de pesquisa propostos para a rede de estadual de saúde.</t>
  </si>
  <si>
    <t>Certificar os acadêmicos que concluíram os Estágios Curriculares na Rede Estadual de Saúde.</t>
  </si>
  <si>
    <t>Realizar um evento de Vivências no SUS no Maranhão.</t>
  </si>
  <si>
    <t>Qualificar Trabalhadores do SUS em pós-graduação da Educação em Autismo e Outras Neurodiversidades.</t>
  </si>
  <si>
    <t xml:space="preserve">Qualificar trabalhadores do SUS em pós-graduação de Gestão de Redes de Atenção à Saúde.     </t>
  </si>
  <si>
    <t>Qualificar trabalhadores do SUS em pós-graduação de Vigilância em Saúde.  </t>
  </si>
  <si>
    <t>Qualificar profissionais da saúde na modalidade residências em saúde.</t>
  </si>
  <si>
    <t xml:space="preserve">Qualificar trabalhadores do SUS em pós-graduação de Gestão Hospitalar. </t>
  </si>
  <si>
    <t>Qualificar trabalhadores do SUS nas linhas de atenção à saúde, gestão em saúde e vigilâncias em saúde.</t>
  </si>
  <si>
    <t>Realizar ação formativa para fortalecer a área de Gestão do Trabalho e Educação na Saúde, através de oficinas, seminários e/ou workshops nas regionais de saúde do estado.</t>
  </si>
  <si>
    <t>Realizar o censo da força de trabalho do SUS, através do mapeamento de trabalhadores e unidade de saúde, com vistas a subsidiar o dimensionamento no estado.</t>
  </si>
  <si>
    <t>Ampliar o cuidado integral à saúde da trabalhadora e trabalhador do SUS, através do Projeto “Cuidar de quem Cuida”, com foco em saúde fisiológica, mental e ergonômica, realizado por uma equipe multiprofissional, oferecendo suporte contínuo e humanizado.</t>
  </si>
  <si>
    <t>Acompanhar e Monitorar o Projeto Planificação da Atenção à Saúde.</t>
  </si>
  <si>
    <t>Acompanhar as ações do Programa Cuidar de Todos.</t>
  </si>
  <si>
    <t>Realizar 04 oficinas com os gestores das unidades regionais de saúde para acompanhamento e monitoramento dos resultados alcançados no plano de trabalho das URS.</t>
  </si>
  <si>
    <t>Apoiar tecnicamente 19 regiões de saúde na execução das ações de vigilância em saúde.</t>
  </si>
  <si>
    <t>Atuar efetivamente na Política de Saúde do Trabalhador e da Trabalhadora, no âmbito estadual, realizando a etapa estadual da 5ª Conferência Nacional Saúde do Trabalhador e Trabalhadora e realizando ou acompanhando suas etapas, oficinas junto às comissões Intersetoriais de Saúde do Trabalhador e outras atividades.</t>
  </si>
  <si>
    <t>Contribuir na Elaboração e Implementação do Plano Estadual de Educação Permanente para o controle social no SUS e Gestão do Trabalho e Educação na Saúde no SUS.</t>
  </si>
  <si>
    <t>Fiscalizar a execução da Política Estadual de Saúde, as ações, os serviços de Saúde a gestão do SUS.</t>
  </si>
  <si>
    <t>Fortalecer a cultura de apoio ao funcionamento regimental junto aos 217 Conselhos Municipais de Saúde.</t>
  </si>
  <si>
    <t>Apoiar a criação de Conselhos Municipais sobre Drogas.</t>
  </si>
  <si>
    <t xml:space="preserve">Monitorar o Plano Estadual sobre Drogas. </t>
  </si>
  <si>
    <t xml:space="preserve">Monitorar os serviços da Rede de Atenção Psicossocial (RAPS) e comunidades terapêuticas. </t>
  </si>
  <si>
    <t>Realizar de Oficina de Educação Permanente para os Conselhos Municipais sobre Drogas.</t>
  </si>
  <si>
    <t>Implantar o Sistema Estadual de Políticas Sobre Drogas.</t>
  </si>
  <si>
    <t>Realizar a Conferência Estadual de Políticas sobre Drogas.</t>
  </si>
  <si>
    <t>Premiar os municípios com o alcance dos melhores indicadores do Programa Cuidar de Todos.</t>
  </si>
  <si>
    <t>Premiar os municípios vencedores da Premiação Inova Saúde.</t>
  </si>
  <si>
    <t>Transferência mensal de recurso financeiro da contrapartida estadual aos 217 municípios para aquisição dos medicamentos e insumos do Componente Básico da Assistência Farmacêutica conforme Portarias GM/MS nº 1.555 de 30/07/2013, Portaria nº 3.193/GM/MS de 09/12/2019 e Pactuação na Comissão Intergestores Bipartite CIB/MA, conforme Resolução nº 96/2014 de 23 de maio de 2014.</t>
  </si>
  <si>
    <t>Realizar duas compras compartilhadas de medicamentos pelo Consórcio Brasil Central.</t>
  </si>
  <si>
    <t>Transferência de recurso financeiro da Contrapartida Estadual para custeio do componente SAMU 192, aprovado pelo Estado e habilitado pelo Ministério da Saúde, em consonância a Portaria de Consolidação nº 6, de 28 de setembro de 2017, onde no Art. 938 cita que as despesas de custeio mensal do componente SAMU 192 são de responsabilidade compartilhada, de forma tripartite, entre a União, os estados, o Distrito Federal e os municípios (Origem: PRT MS/GM 1010/2012, Art. 40).</t>
  </si>
  <si>
    <t>1.1.6.2</t>
  </si>
  <si>
    <t>1.1.6.3</t>
  </si>
  <si>
    <t>1.1.6.4</t>
  </si>
  <si>
    <t>1.1.6.5</t>
  </si>
  <si>
    <t>1.1.6.6</t>
  </si>
  <si>
    <t>1.1.6.7</t>
  </si>
  <si>
    <t>1.1.6.8</t>
  </si>
  <si>
    <t>1.1.7.1</t>
  </si>
  <si>
    <t>1.1.7.2</t>
  </si>
  <si>
    <t>1.1.7.3</t>
  </si>
  <si>
    <t>1.1.7.4</t>
  </si>
  <si>
    <t>1.1.8.5</t>
  </si>
  <si>
    <t>1.1.8.1</t>
  </si>
  <si>
    <t>1.1.8.2</t>
  </si>
  <si>
    <t>1.1.8.3</t>
  </si>
  <si>
    <t>1.1.8.4</t>
  </si>
  <si>
    <t>1.1.8.6</t>
  </si>
  <si>
    <t>1.1.9.1</t>
  </si>
  <si>
    <t>1.1.9.2</t>
  </si>
  <si>
    <t>1.1.9.3</t>
  </si>
  <si>
    <t>1.1.9.4</t>
  </si>
  <si>
    <t>1.1.9.5</t>
  </si>
  <si>
    <t>1.1.10.1</t>
  </si>
  <si>
    <t>1.1.10.2</t>
  </si>
  <si>
    <t>1.1.10.3</t>
  </si>
  <si>
    <t>1.1.11.1</t>
  </si>
  <si>
    <t>1.1.11.2</t>
  </si>
  <si>
    <t>1.1.11.3</t>
  </si>
  <si>
    <t>1.1.11.4</t>
  </si>
  <si>
    <t>1.1.12.1</t>
  </si>
  <si>
    <t>1.1.12.2</t>
  </si>
  <si>
    <t>1.1.12.3</t>
  </si>
  <si>
    <t>1.1.13.1</t>
  </si>
  <si>
    <t>1.1.13.2</t>
  </si>
  <si>
    <t>1.1.13.3</t>
  </si>
  <si>
    <t>1.1.13.4</t>
  </si>
  <si>
    <t>1.2.1.1</t>
  </si>
  <si>
    <t>1.2.1.2</t>
  </si>
  <si>
    <t>1.2.1.3</t>
  </si>
  <si>
    <t>1.2.1.4</t>
  </si>
  <si>
    <t>1.2.1.5</t>
  </si>
  <si>
    <t>1.2.2.1</t>
  </si>
  <si>
    <t>1.2.2.2</t>
  </si>
  <si>
    <t>1.2.2.3</t>
  </si>
  <si>
    <t>1.2.2.4</t>
  </si>
  <si>
    <t>1.2.2.5</t>
  </si>
  <si>
    <t>1.2.2.6</t>
  </si>
  <si>
    <t>1.2.3.1</t>
  </si>
  <si>
    <t>1.2.3.2</t>
  </si>
  <si>
    <t>1.2.3.3</t>
  </si>
  <si>
    <t>1.2.3.4</t>
  </si>
  <si>
    <t>1.2.3.5</t>
  </si>
  <si>
    <t>1.2.3.6</t>
  </si>
  <si>
    <t>1.2.3.7</t>
  </si>
  <si>
    <t>1.2.3.8</t>
  </si>
  <si>
    <t>1.2.4.1</t>
  </si>
  <si>
    <t>1.2.4.2</t>
  </si>
  <si>
    <t>1.2.5.1</t>
  </si>
  <si>
    <t>1.2.5.2</t>
  </si>
  <si>
    <t>1.2.5.3</t>
  </si>
  <si>
    <t>1.2.6.1</t>
  </si>
  <si>
    <t>1.2.6.2</t>
  </si>
  <si>
    <t>1.2.6.3</t>
  </si>
  <si>
    <t>1.2.6.4</t>
  </si>
  <si>
    <t>1.2.6.5</t>
  </si>
  <si>
    <t>1.2.6.6</t>
  </si>
  <si>
    <t>1.2.6.7</t>
  </si>
  <si>
    <t>1.2.6.8</t>
  </si>
  <si>
    <t>1.2.6.9</t>
  </si>
  <si>
    <t>1.2.6.10</t>
  </si>
  <si>
    <t>1.2.6.11</t>
  </si>
  <si>
    <t>1.2.6.12</t>
  </si>
  <si>
    <t>1.2.6.13</t>
  </si>
  <si>
    <t>1.2.6.14</t>
  </si>
  <si>
    <t>1.2.6.15</t>
  </si>
  <si>
    <t>1.2.6.16</t>
  </si>
  <si>
    <t>1.2.6.17</t>
  </si>
  <si>
    <t>1.2.6.18</t>
  </si>
  <si>
    <t>1.2.7.1</t>
  </si>
  <si>
    <t>1.2.7.2</t>
  </si>
  <si>
    <t>1.2.7.3</t>
  </si>
  <si>
    <t>1.2.7.4</t>
  </si>
  <si>
    <t>1.2.7.5</t>
  </si>
  <si>
    <t>1.2.7.6</t>
  </si>
  <si>
    <t>1.2.7.7</t>
  </si>
  <si>
    <t>1.2.7.8</t>
  </si>
  <si>
    <t>1.2.7.9</t>
  </si>
  <si>
    <t>1.2.7.10</t>
  </si>
  <si>
    <t>1.3.1.1</t>
  </si>
  <si>
    <t>1.3.2.1</t>
  </si>
  <si>
    <t>1.3.2.2</t>
  </si>
  <si>
    <t>1.3.3.1</t>
  </si>
  <si>
    <t>1.3.4.1</t>
  </si>
  <si>
    <t>2.1.1.1</t>
  </si>
  <si>
    <t>2.1.1.2</t>
  </si>
  <si>
    <t>2.1.1.3</t>
  </si>
  <si>
    <t>2.1.1.4</t>
  </si>
  <si>
    <t>2.1.1.5</t>
  </si>
  <si>
    <t>2.1.1.6</t>
  </si>
  <si>
    <t>2.1.1.7</t>
  </si>
  <si>
    <t>2.1.1.8</t>
  </si>
  <si>
    <t>2.1.1.9</t>
  </si>
  <si>
    <t>2.1.1.10</t>
  </si>
  <si>
    <t>2.1.1.11</t>
  </si>
  <si>
    <t>2.1.1.12</t>
  </si>
  <si>
    <t>2.1.1.13</t>
  </si>
  <si>
    <t>2.1.1.14</t>
  </si>
  <si>
    <t>2.1.1.15</t>
  </si>
  <si>
    <t>2.1.1.16</t>
  </si>
  <si>
    <t>2.1.1.17</t>
  </si>
  <si>
    <t>2.1.1.18</t>
  </si>
  <si>
    <t>2.1.1.19</t>
  </si>
  <si>
    <t>2.1.2.1</t>
  </si>
  <si>
    <t>2.1.2.2</t>
  </si>
  <si>
    <t>2.1.2.3</t>
  </si>
  <si>
    <t>2.1.2.4</t>
  </si>
  <si>
    <t>2.1.2.5</t>
  </si>
  <si>
    <t>2.1.3.1</t>
  </si>
  <si>
    <t>2.1.3.2</t>
  </si>
  <si>
    <t>2.1.3.3</t>
  </si>
  <si>
    <t>2.1.4.1</t>
  </si>
  <si>
    <t>2.1.4.2</t>
  </si>
  <si>
    <t>2.1.4.3</t>
  </si>
  <si>
    <t>2.1.5.1</t>
  </si>
  <si>
    <t>2.1.5.2</t>
  </si>
  <si>
    <t>2.1.5.3</t>
  </si>
  <si>
    <t>2.1.5.4</t>
  </si>
  <si>
    <t>2.1.6.1</t>
  </si>
  <si>
    <t>2.1.6.2</t>
  </si>
  <si>
    <t>2.1.6.3</t>
  </si>
  <si>
    <t>2.1.6.4</t>
  </si>
  <si>
    <t>2.1.7.1</t>
  </si>
  <si>
    <t>2.1.7.2</t>
  </si>
  <si>
    <t>2.1.7.3</t>
  </si>
  <si>
    <t>2.1.7.4</t>
  </si>
  <si>
    <t>2.1.8.1</t>
  </si>
  <si>
    <t>2.1.8.2</t>
  </si>
  <si>
    <t>2.1.8.3</t>
  </si>
  <si>
    <t>2.1.8.4</t>
  </si>
  <si>
    <t>2.1.8.5</t>
  </si>
  <si>
    <t>2.1.8.6</t>
  </si>
  <si>
    <t>2.1.9.1</t>
  </si>
  <si>
    <t>2.1.9.2</t>
  </si>
  <si>
    <t>2.1.9.3</t>
  </si>
  <si>
    <t>2.1.9.4</t>
  </si>
  <si>
    <t>2.1.9.5</t>
  </si>
  <si>
    <t>2.1.9.6</t>
  </si>
  <si>
    <t>2.1.9.7</t>
  </si>
  <si>
    <t>2.1.9.8</t>
  </si>
  <si>
    <t>2.1.10.1</t>
  </si>
  <si>
    <t>2.1.10.2</t>
  </si>
  <si>
    <t>2.2.1.1</t>
  </si>
  <si>
    <t>2.2.1.2</t>
  </si>
  <si>
    <t>2.2.1.3</t>
  </si>
  <si>
    <t>2.2.1.4</t>
  </si>
  <si>
    <t>2.2.1.5</t>
  </si>
  <si>
    <t>2.2.2.1</t>
  </si>
  <si>
    <t>2.2.2.2</t>
  </si>
  <si>
    <t>2.2.2.3</t>
  </si>
  <si>
    <t>2.2.2.4</t>
  </si>
  <si>
    <t>2.2.3.1</t>
  </si>
  <si>
    <t>2.2.3.2</t>
  </si>
  <si>
    <t>2.2.3.3</t>
  </si>
  <si>
    <t>2.3.1.1</t>
  </si>
  <si>
    <t>2.3.1.2</t>
  </si>
  <si>
    <t>2.3.1.3</t>
  </si>
  <si>
    <t>2.3.2.1</t>
  </si>
  <si>
    <t>2.3.2.2</t>
  </si>
  <si>
    <t>2.3.2.3</t>
  </si>
  <si>
    <t>2.3.3.1</t>
  </si>
  <si>
    <t>2.3.3.2</t>
  </si>
  <si>
    <t>2.3.3.3</t>
  </si>
  <si>
    <t>2.3.3.4</t>
  </si>
  <si>
    <t>2.3.3.5</t>
  </si>
  <si>
    <t>2.3.3.6</t>
  </si>
  <si>
    <t>2.3.3.7</t>
  </si>
  <si>
    <t>2.3.4.1</t>
  </si>
  <si>
    <t>2.3.4.2</t>
  </si>
  <si>
    <t>2.3.4.3</t>
  </si>
  <si>
    <t>2.3.4.4</t>
  </si>
  <si>
    <t>2.3.4.5</t>
  </si>
  <si>
    <t>2.4.1.1</t>
  </si>
  <si>
    <t>2.4.1.2</t>
  </si>
  <si>
    <t>2.4.1.3</t>
  </si>
  <si>
    <t>2.4.1.4</t>
  </si>
  <si>
    <t>2.4.2.1</t>
  </si>
  <si>
    <t>2.4.2.2</t>
  </si>
  <si>
    <t>2.5.1.1</t>
  </si>
  <si>
    <t>2.5.1.2</t>
  </si>
  <si>
    <t>2.5.1.3</t>
  </si>
  <si>
    <t>2.5.1.4</t>
  </si>
  <si>
    <t>2.5.1.5</t>
  </si>
  <si>
    <t>2.5.1.6</t>
  </si>
  <si>
    <t>2.5.1.7</t>
  </si>
  <si>
    <t>2.5.1.8</t>
  </si>
  <si>
    <t>2.5.1.9</t>
  </si>
  <si>
    <t>2.5.1.10</t>
  </si>
  <si>
    <t>2.5.1.11</t>
  </si>
  <si>
    <t>2.5.2.1</t>
  </si>
  <si>
    <t>2.5.2.2</t>
  </si>
  <si>
    <t>2.5.2.3</t>
  </si>
  <si>
    <t>2.5.2.4</t>
  </si>
  <si>
    <t>2.5.2.5</t>
  </si>
  <si>
    <t>2.5.2.6</t>
  </si>
  <si>
    <t>2.5.2.7</t>
  </si>
  <si>
    <t>2.5.2.8</t>
  </si>
  <si>
    <t>2.5.2.9</t>
  </si>
  <si>
    <t>2.5.2.10</t>
  </si>
  <si>
    <t>2.5.2.11</t>
  </si>
  <si>
    <t>2.5.2.12</t>
  </si>
  <si>
    <t>2.5.2.13</t>
  </si>
  <si>
    <t>2.5.2.14</t>
  </si>
  <si>
    <t>3.1.1.1</t>
  </si>
  <si>
    <t>3.1.1.2</t>
  </si>
  <si>
    <t>3.1.1.3</t>
  </si>
  <si>
    <t>3.1.1.4</t>
  </si>
  <si>
    <t>3.1.1.5</t>
  </si>
  <si>
    <t>3.1.2.1</t>
  </si>
  <si>
    <t>3.1.3.1</t>
  </si>
  <si>
    <t>3.1.3.2</t>
  </si>
  <si>
    <t>3.1.3.3</t>
  </si>
  <si>
    <t>3.1.3.4</t>
  </si>
  <si>
    <t>3.1.3.5</t>
  </si>
  <si>
    <t>3.1.4.1</t>
  </si>
  <si>
    <t>3.1.4.2</t>
  </si>
  <si>
    <t>3.1.4.3</t>
  </si>
  <si>
    <t>3.1.4.4</t>
  </si>
  <si>
    <t>3.1.4.5</t>
  </si>
  <si>
    <t>3.1.5.1</t>
  </si>
  <si>
    <t>3.1.5.2</t>
  </si>
  <si>
    <t>3.1.5.3</t>
  </si>
  <si>
    <t>3.1.6.1</t>
  </si>
  <si>
    <t>3.1.6.2</t>
  </si>
  <si>
    <t>3.1.6.3</t>
  </si>
  <si>
    <t>3.1.6.4</t>
  </si>
  <si>
    <t>3.1.6.5</t>
  </si>
  <si>
    <t>3.2.1.1</t>
  </si>
  <si>
    <t>3.2.1.2</t>
  </si>
  <si>
    <t>3.2.1.3</t>
  </si>
  <si>
    <t>3.2.1.4</t>
  </si>
  <si>
    <t>3.2.1.5</t>
  </si>
  <si>
    <t>3.2.1.6</t>
  </si>
  <si>
    <t>3.2.1.7</t>
  </si>
  <si>
    <t>3.2.1.8</t>
  </si>
  <si>
    <t>3.2.1.9</t>
  </si>
  <si>
    <t>3.2.1.10</t>
  </si>
  <si>
    <t>3.2.1.11</t>
  </si>
  <si>
    <t>3.2.1.12</t>
  </si>
  <si>
    <t>3.2.1.13</t>
  </si>
  <si>
    <t>3.2.1.14</t>
  </si>
  <si>
    <t>3.2.1.15</t>
  </si>
  <si>
    <t>3.2.1.16</t>
  </si>
  <si>
    <t>3.2.1.17</t>
  </si>
  <si>
    <t>3.2.2.1</t>
  </si>
  <si>
    <t>3.2.2.2</t>
  </si>
  <si>
    <t>3.2.2.3</t>
  </si>
  <si>
    <t>3.2.2.4</t>
  </si>
  <si>
    <t>3.2.2.5</t>
  </si>
  <si>
    <t>3.2.2.6</t>
  </si>
  <si>
    <t>3.2.3.1</t>
  </si>
  <si>
    <t>3.2.3.2</t>
  </si>
  <si>
    <t>3.2.3.3</t>
  </si>
  <si>
    <t>3.3.1.1</t>
  </si>
  <si>
    <t>3.3.1.2</t>
  </si>
  <si>
    <t>3.3.1.3</t>
  </si>
  <si>
    <t>3.3.1.4</t>
  </si>
  <si>
    <t>3.3.2.1</t>
  </si>
  <si>
    <t>3.3.2.2</t>
  </si>
  <si>
    <t>3.3.2.3</t>
  </si>
  <si>
    <t>3.3.2.4</t>
  </si>
  <si>
    <t>3.3.3.1</t>
  </si>
  <si>
    <t>3.3.3.2</t>
  </si>
  <si>
    <t>3.3.3.3</t>
  </si>
  <si>
    <t>3.3.3.4</t>
  </si>
  <si>
    <t>3.3.3.5</t>
  </si>
  <si>
    <t>3.3.3.6</t>
  </si>
  <si>
    <t>4.1.1.1</t>
  </si>
  <si>
    <t>4.1.1.2</t>
  </si>
  <si>
    <t>4.1.2.1</t>
  </si>
  <si>
    <t>4.1.3.1</t>
  </si>
  <si>
    <t>4.1.4.1</t>
  </si>
  <si>
    <t>Meta da Atividade</t>
  </si>
  <si>
    <t>Indicador da Atividade</t>
  </si>
  <si>
    <t>Município Beneficiado</t>
  </si>
  <si>
    <t>Unidades Prisionais Beneficiadas</t>
  </si>
  <si>
    <t>Regional Beneficiada</t>
  </si>
  <si>
    <t>Município Apoiado</t>
  </si>
  <si>
    <t>Tutores Estaduais Capacitados</t>
  </si>
  <si>
    <t>Ação Realizada</t>
  </si>
  <si>
    <t>Núcleos Implantados</t>
  </si>
  <si>
    <t>Exame Realizado</t>
  </si>
  <si>
    <t>Distribuição Realizada</t>
  </si>
  <si>
    <t>Assessoramento Técnico Realizado</t>
  </si>
  <si>
    <t>Atendimento Realizado</t>
  </si>
  <si>
    <t>Pesquisa Realizada</t>
  </si>
  <si>
    <t>Atividade de Acompanhamento Realizada</t>
  </si>
  <si>
    <t>Apoio Técnico Realizado</t>
  </si>
  <si>
    <t>Núcleo Ampliado Realizado</t>
  </si>
  <si>
    <t>Necrópsia Realizada</t>
  </si>
  <si>
    <t>Eventos Realizados</t>
  </si>
  <si>
    <t>Reestruturação Realizada</t>
  </si>
  <si>
    <t>Serviço Implantado</t>
  </si>
  <si>
    <t>Espaço Implantado</t>
  </si>
  <si>
    <t>Oficina Realizada</t>
  </si>
  <si>
    <t>Seminário Realizado</t>
  </si>
  <si>
    <t>Perfil Reestruturado</t>
  </si>
  <si>
    <t>Vagas Ampliadas</t>
  </si>
  <si>
    <t>Serviço Habilitado</t>
  </si>
  <si>
    <t>Encontro Realizado</t>
  </si>
  <si>
    <t>Simpósio Realizado</t>
  </si>
  <si>
    <t>Protocolo Implementado</t>
  </si>
  <si>
    <t>Critério Implementado</t>
  </si>
  <si>
    <t>Triagem Realizada</t>
  </si>
  <si>
    <t>Prótese Entregue</t>
  </si>
  <si>
    <t>Procedimento Odontológico Realizado</t>
  </si>
  <si>
    <t>Leitos Monitorados</t>
  </si>
  <si>
    <t>Número</t>
  </si>
  <si>
    <t>Percentual</t>
  </si>
  <si>
    <t>Fórum Realizado</t>
  </si>
  <si>
    <t>Profissionais Capacitados</t>
  </si>
  <si>
    <t>Absenteísmo</t>
  </si>
  <si>
    <t>Painel Implantado</t>
  </si>
  <si>
    <t>Sistema de Regulação Implantado</t>
  </si>
  <si>
    <t>% de Núcleos Internos de Regulação Qualificados</t>
  </si>
  <si>
    <t>% de Protocolos Clínicos Implantados</t>
  </si>
  <si>
    <t>% de Solicitação Acompanhada</t>
  </si>
  <si>
    <t>% de Sistema Implantado</t>
  </si>
  <si>
    <t>% de Solicitações de Transporte Aéreo</t>
  </si>
  <si>
    <t>Unidade de Suporte Avançado Adquirido</t>
  </si>
  <si>
    <t>Ajuda de Custo Realizada</t>
  </si>
  <si>
    <t>Região de Saúde Atendida</t>
  </si>
  <si>
    <t>Tratamento fora do domicílio formalizado e analisado</t>
  </si>
  <si>
    <t>Deslocamento Realizado</t>
  </si>
  <si>
    <t>Benefício Realizado</t>
  </si>
  <si>
    <t>Estabelecimento de saúde contratualizado</t>
  </si>
  <si>
    <t>Procedimento Realizado</t>
  </si>
  <si>
    <t>Relatório Realizado</t>
  </si>
  <si>
    <t>Médicos capacitados</t>
  </si>
  <si>
    <t>Profissionais capacitados</t>
  </si>
  <si>
    <t>Comissões Implantadas</t>
  </si>
  <si>
    <t>Busca Ativa realizada</t>
  </si>
  <si>
    <t>Profissional Capacitado</t>
  </si>
  <si>
    <t>Implantação realizada</t>
  </si>
  <si>
    <t>% de doadores efetivos</t>
  </si>
  <si>
    <t>Transplante de córnea realizado</t>
  </si>
  <si>
    <t>% de Consultas Ambulatoriais monitoradas</t>
  </si>
  <si>
    <t>Captação Realizada</t>
  </si>
  <si>
    <t>Bolsa de sangue coletada</t>
  </si>
  <si>
    <t>Hemocomponente produzido</t>
  </si>
  <si>
    <t>Consulta Realizada</t>
  </si>
  <si>
    <t>Atendimento realizado</t>
  </si>
  <si>
    <t>Exame laboratorial realizado</t>
  </si>
  <si>
    <t>Serviço Implementado</t>
  </si>
  <si>
    <t>Biópsia Realizada</t>
  </si>
  <si>
    <t>Cirurgias Realizadas</t>
  </si>
  <si>
    <t>Obra Realizada</t>
  </si>
  <si>
    <t>Diagnóstico situacional realizado</t>
  </si>
  <si>
    <t>% de participação na etapa de planejamento</t>
  </si>
  <si>
    <t>Oficina Equipada</t>
  </si>
  <si>
    <t>Hospital Equipado</t>
  </si>
  <si>
    <t>Hemonúcleo equipado</t>
  </si>
  <si>
    <t>UTI Modernizada</t>
  </si>
  <si>
    <t>Centro de Hemodiálise Equipada</t>
  </si>
  <si>
    <t>Hospital Equipado e Modernizado</t>
  </si>
  <si>
    <t>Unidade Modernizada</t>
  </si>
  <si>
    <t>Solicitação Atendida</t>
  </si>
  <si>
    <t>% de Metas Concluídas</t>
  </si>
  <si>
    <t>Auditoria Realizada</t>
  </si>
  <si>
    <t>Cooperação Realizada</t>
  </si>
  <si>
    <t>Visitas Técnicas Realizadas</t>
  </si>
  <si>
    <t>Estabelecimento de saúde monitorados</t>
  </si>
  <si>
    <t>Monitoramentos Realizados</t>
  </si>
  <si>
    <t>Unidades Verificadas</t>
  </si>
  <si>
    <t>Indicadores Assistenciais Monitorados</t>
  </si>
  <si>
    <t>Capacitação Realizada</t>
  </si>
  <si>
    <t>Viagem Realizada</t>
  </si>
  <si>
    <t>Estabelecimentos com Sistema Implantado</t>
  </si>
  <si>
    <t>Evento Realizado</t>
  </si>
  <si>
    <t>Solução Digital Realizada</t>
  </si>
  <si>
    <t>Documento Elaborado</t>
  </si>
  <si>
    <t>Participantes Certificados</t>
  </si>
  <si>
    <t>Visitas Realizadas</t>
  </si>
  <si>
    <t>Pesquisas Acompanhadas</t>
  </si>
  <si>
    <t>Alunos Certificados</t>
  </si>
  <si>
    <t>Qualificação Realizada</t>
  </si>
  <si>
    <t>Participante Qualificado e Certificado</t>
  </si>
  <si>
    <t>Pós-Graduação em Andamento</t>
  </si>
  <si>
    <t>Regional Contemplada</t>
  </si>
  <si>
    <t>Força de Trabalho Mapeada</t>
  </si>
  <si>
    <t>% de Trabalhador Alcançado</t>
  </si>
  <si>
    <t>Atividade Realizada</t>
  </si>
  <si>
    <t>Fiscalização Realizada</t>
  </si>
  <si>
    <t>Conselho Apoiado</t>
  </si>
  <si>
    <t>Sistema Implantado</t>
  </si>
  <si>
    <t>Conferência Realizada</t>
  </si>
  <si>
    <t>Premiação Concedida</t>
  </si>
  <si>
    <t>Compra Realizada</t>
  </si>
  <si>
    <t>Parcela Realizada</t>
  </si>
  <si>
    <t>Região de Saúde</t>
  </si>
  <si>
    <t>AÇAILÂNDIA (Região XIV)</t>
  </si>
  <si>
    <t>CAXIAS (Região XXVI)</t>
  </si>
  <si>
    <t>CHAPADINHA (Região IV)</t>
  </si>
  <si>
    <t>SÃO LUÍS (Região I)</t>
  </si>
  <si>
    <t>BACABAL (Região XXV)</t>
  </si>
  <si>
    <t>CODÓ (Região VI)</t>
  </si>
  <si>
    <t>SANTA INÊS (Região XI)</t>
  </si>
  <si>
    <t>BALSAS (Região XVII)</t>
  </si>
  <si>
    <t>ZÉ DOCA (Região XII)</t>
  </si>
  <si>
    <t>IMPERATRIZ (Região XV)</t>
  </si>
  <si>
    <t>ITAPECURU (Região III)</t>
  </si>
  <si>
    <t>PINHEIRO (Região VII)</t>
  </si>
  <si>
    <t>BARRA DO CORDA (Região XXIV)</t>
  </si>
  <si>
    <t>ROSÁRIO (Região I)</t>
  </si>
  <si>
    <t>VIANA (Região IX)</t>
  </si>
  <si>
    <t>SÃO JOÃO DOS PATOS (Região XVIII)</t>
  </si>
  <si>
    <t>PEDREIRAS (Região XXIII)</t>
  </si>
  <si>
    <t>PRESIDENTE DUTRA (Região XX)</t>
  </si>
  <si>
    <t>TIMON (Região X)</t>
  </si>
  <si>
    <t>O município foi beneficiado do 1º Quadrimestre?</t>
  </si>
  <si>
    <t>Sim</t>
  </si>
  <si>
    <t>Fórmula</t>
  </si>
  <si>
    <t>ESSA PLANILHA SERVE APENAS PARA CONSEGUIR O CÓDIGO DOS MUNICÍPIOS BENEFICIADOS.
COLOCA A REGIÃO E O MUNICÍPIO BENEFICIADO EM A E B, E DAÍ AS FORMULAS VÃO ESTAR EM K.</t>
  </si>
  <si>
    <t>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t>
  </si>
  <si>
    <t>Fortalecimento da Assistência Especializada em Saúde, de Média e Alta Complexidade, de forma ascendente e regionalizada, contemplando as demandas específicas das regiões de saúde, aperfeiçoando o sistema de regulação, garantindo a oferta de serviços de saúde.</t>
  </si>
  <si>
    <t>Fortalecer a Gestão Pública, por meio da gestão compartilhada nas regiões de saúde, com aprimoramento do planejamento estratégico e dos instrumentos de gestão, garantindo e fortalecendo as instâncias de controle social.</t>
  </si>
  <si>
    <t>Garantir o financiamento público e sustentável ao Sistema Único de Saúde, melhorando o padrão de gastos e qualificando o financiamento tripartite em saúde.</t>
  </si>
  <si>
    <t>Fortalecer a Atenção Primária para apoiar o desenvolvimento de ações em saúde no estado.</t>
  </si>
  <si>
    <t>Aprimorar as ações de Vigilância em Saúde para promoção, prevenção e controle de doenças e agravos.</t>
  </si>
  <si>
    <t>Garantir aos usuários do SUS acesso aos medicamentos contemplados nos Componentes Básico, Especializado, Estratégico da Assistência Farmacêutica e dos programas da SES/MA.</t>
  </si>
  <si>
    <t>Garantir a integralidade da assistência dos serviços de média e alta complexidade aos usuários do SUS, por meio do fortalecimento das redes de atenção à saúde.</t>
  </si>
  <si>
    <t>Ampliar a doação e a captação de órgãos e tecidos, com a finalidade de ampliar a realização de transplantes no estado.</t>
  </si>
  <si>
    <t>Programar, executar e coordenar a política de sangue, seus componentes e derivados no estado do Maranhão no âmbito da hemoterapia e de hematologia clínica, incluindo suporte diagnostico e atendimentos multidisciplinares.</t>
  </si>
  <si>
    <t>Realizar assistência de combate ao cancer na média e alta complexidade.</t>
  </si>
  <si>
    <t>Ampliar e modernizar a infraestrutura de unidades de saúde, de acordo com perfil assistencial definido.</t>
  </si>
  <si>
    <t>Aprimorar o planejamento, o monitoramento e a avaliação da política de saúde, a nível estadual, e apoiar os municípios no âmbito da gestão do SUS.</t>
  </si>
  <si>
    <t>Dimensionar, valorizar e qualificar os trabalhadores/as do SUS no Maranhão, a partir da estruturação de uma política da gestão de trabalho e educação na saúde.</t>
  </si>
  <si>
    <t>Fortalecer os espaços de gestão compartilhada e descentralizada das ações da Secretaria Estadual de Saúde, visando à transparência e aprimorando o controle social.</t>
  </si>
  <si>
    <t>Garantir os investimentos em ações e serviços de saúde no Estado do Maranhão, ampliando o cofinanciamento, a captação de recursos e aumentando a eficiência, eficácia e efetividade da execução orçamentária e financeira</t>
  </si>
  <si>
    <t>Número do Objetivo</t>
  </si>
  <si>
    <t>Apoiar os municípios no desenvolvimento de ações de fortalecimento para Estratégia Saúde da Família</t>
  </si>
  <si>
    <t>Nº de municípios beneficiados</t>
  </si>
  <si>
    <t>Apoiar os municípios no desenvolvimento de ações voltadas para o fortalecimento da Política de Saúde Bucal.</t>
  </si>
  <si>
    <t>Apoiar os municípios a desenvolverem ações de fortalecimento da Política de Saúde do Adulto e Idoso.</t>
  </si>
  <si>
    <t>Apoiar Unidades Prisionais de Ressocialização a desenvolverem ações voltadas para a Política Nacional de Atenção Integral à Saúde de Pessoas Privadas de Liberdade (PNAISP).</t>
  </si>
  <si>
    <t>Nº de Unidades Prisionais apoiadas</t>
  </si>
  <si>
    <t>Apoiar os municípios no desenvolvimento de ações de fortalecimento da Política de Saúde Integral da Mulher.</t>
  </si>
  <si>
    <t>Apoiar os municípios no desenvolvimento de ações voltadas para o fortalecimento da Política de Saúde da Criança e do Adolescente.</t>
  </si>
  <si>
    <t>Apoiar os municípios para implantação e implementação das ações e estratégias da Política Nacional de Alimentação e Nutrição (PNAN).</t>
  </si>
  <si>
    <t>Fortalecer os municípios na integração das ações da Atenção Primária com as populações vulneráveis seguindo o princípio da Equidade em Saúde.</t>
  </si>
  <si>
    <t>Apoiar institucionalmente as gestões municipais no SUS, por meio da planificação da atenção à saúde e da oferta de assistência em situação de emergência de saúde pública.</t>
  </si>
  <si>
    <t>Garantir apoio institucional aos municípios nas ações da Política de Saúde Mental, Álcool e outras drogas.</t>
  </si>
  <si>
    <t>Reduzir em 60% a internação de longa permanência de pessoas com transtornos mentais em conflito com a lei.</t>
  </si>
  <si>
    <t>Nº de internações</t>
  </si>
  <si>
    <t>Apoiar os municípios na implantação do Programa Farmácia Viva.</t>
  </si>
  <si>
    <t>Fortalecer APS por meio de cooperação técnica entre estado e município.</t>
  </si>
  <si>
    <t>Fortalecer as ações de promoção, prevenção e proteção à saúde em relação aos riscos ambientais nas três macrorregiões de saúde.</t>
  </si>
  <si>
    <t>Nº de Ações Realizadas</t>
  </si>
  <si>
    <t>Unidade</t>
  </si>
  <si>
    <t>Fortalecer as ações de promoção, prevenção e proteção de Vigilância em Saúde do Trabalhador e da Trabalhadora nas três macrorregiões de saúde.</t>
  </si>
  <si>
    <t>Fortalecer as ações de gerenciamento de risco em vigilância sanitária nas três macrorregiões de saúde.</t>
  </si>
  <si>
    <t>Desenvolver ações de vigilância laboratorial em saúde pública.</t>
  </si>
  <si>
    <t>Realizar exames de vigilância laboratorial em saúde pública.</t>
  </si>
  <si>
    <t>Nº de Exames Realizados</t>
  </si>
  <si>
    <t>Realizar ações de apoio aos municípios no âmbito da Vigilância epidemiológica e Controle de Doenças.</t>
  </si>
  <si>
    <t>Apoiar os municípios na redução das taxas de incidência de HIV, Sífilis, Hepatites Virais e outras ISTs.</t>
  </si>
  <si>
    <t>Nº de Municípios Beneficiados</t>
  </si>
  <si>
    <t>Ampliar o acesso aos medicamentos especializados e padronizados aos usuários.</t>
  </si>
  <si>
    <t>Nº de Atendimentos Realizados</t>
  </si>
  <si>
    <t>Garantir a distribuição de fórmulas especiais a crianças com alergia e/ou intolerância alimentar.</t>
  </si>
  <si>
    <t>Avançar na descentralização da Farmácia Estadual de Medicamentos Especializados (FEME).</t>
  </si>
  <si>
    <t>Nº de Unidades Descentralizadas</t>
  </si>
  <si>
    <t>Garantir o acesso aos medicamentos às pessoas privadas de liberdade.</t>
  </si>
  <si>
    <t>Prestar o atendimento ambulatorial especializado aos usuários do SUS por intermédio dos serviços de saúde nas unidades próprias.</t>
  </si>
  <si>
    <t>Nº de procedimentos realizados</t>
  </si>
  <si>
    <t>Prestar o atendimento hospitalar aos usuários do SUS por intermédio dos serviços de saúde nas unidades próprias.</t>
  </si>
  <si>
    <t>Garantir o atendimento Odontológico Ambulatorial, Hospitalar e de Urgência e Emergência.</t>
  </si>
  <si>
    <t>Otimizar o gerenciamento dos leitos hospitalares da rede própria.</t>
  </si>
  <si>
    <t>% de Leitos Monitorados</t>
  </si>
  <si>
    <t>Porcentagem</t>
  </si>
  <si>
    <t>Qualificar os processos de regulação de acesso ambulatorial.</t>
  </si>
  <si>
    <t>% de solicitações atendidas</t>
  </si>
  <si>
    <t>Qualificar os processos de regulação de acesso à internação hospitalar.</t>
  </si>
  <si>
    <t>% solicitações atendidas</t>
  </si>
  <si>
    <t>Qualificar os processos de regulação de transporte interhospitalar.</t>
  </si>
  <si>
    <t>Garantir o deslocamento e ajuda de custo aos pacientes para Tratamentos Fora do Domicílio (TFD) em outra unidade da federação.</t>
  </si>
  <si>
    <t>Prestar o atendimento ambulatorial e hospitalar de média e alta complexidade aos usuários do SUS por intermédio dos estabelecimentos de saúde de natureza pública municipal e privadas contratualizadas.</t>
  </si>
  <si>
    <t>Garantir apoio técnico aos municípios com Serviço de Atendimento Móvel de Urgência (SAMU) habilitados.</t>
  </si>
  <si>
    <t>Aumentar o número de notificações de morte encefálica e tecidos no estado.</t>
  </si>
  <si>
    <t>Nº de notificações</t>
  </si>
  <si>
    <t>Aumentar o número de doadores efetivos para doação e captação de órgãos e tecidos</t>
  </si>
  <si>
    <t>Nº de doadores efetivos</t>
  </si>
  <si>
    <t>Aumentar o número de transplantes de órgãos e tecidos efetivos no estado.</t>
  </si>
  <si>
    <t>Nº de transplantes efetivos no Estado</t>
  </si>
  <si>
    <t>Ampliar os procedimentos destinados à obtenção do sangue, seus componentes e derivados.</t>
  </si>
  <si>
    <t>Nº de procedimentos hemoterápicos realizados</t>
  </si>
  <si>
    <t>Ampliar o número de consultas médicas em atenção especializada.</t>
  </si>
  <si>
    <t>Nº de consultas médicas realizadas</t>
  </si>
  <si>
    <t>Ampliar o número de atendimentos multidisciplinares em atenção especializada.</t>
  </si>
  <si>
    <t>Nº de atendimentos multidisciplinares realizados</t>
  </si>
  <si>
    <t>Aumentar o número de exames laboratoriais de triagem e suporte diagnóstico.</t>
  </si>
  <si>
    <t>Nº de exames laboratoriais</t>
  </si>
  <si>
    <t>Ampliar o acesso aos serviços de diagnóstico do câncer.</t>
  </si>
  <si>
    <t>Ampliar o acesso aos serviços de tratamento do câncer.</t>
  </si>
  <si>
    <t>Ampliar a rede hospitalar e ambulatorial nas regiões.</t>
  </si>
  <si>
    <t>Nº de regiões atendidas</t>
  </si>
  <si>
    <t>Garantir a aquisição de equipamentos hospitalares para as unidades de saúde da região.</t>
  </si>
  <si>
    <t>Fortalecer a cultura de planejamento nas gestões estadual e municipal do SUS.</t>
  </si>
  <si>
    <t>Nº de ações de planejamento realizadas</t>
  </si>
  <si>
    <t>Realizar ações para implantar o Planejamento Regional Integrado (PRI) no Maranhão.</t>
  </si>
  <si>
    <t>Nº de ações realizadas</t>
  </si>
  <si>
    <t>Fortalecer as ações de Auditoria do SUS.</t>
  </si>
  <si>
    <t>Garantir o monitoramento das ações realizadas nas unidades de saúde.</t>
  </si>
  <si>
    <t>Nº de unidades de saúde monitoradas</t>
  </si>
  <si>
    <t>Fortalecer as ações de Ouvidoria do SUS no estado.</t>
  </si>
  <si>
    <t>Aprimorar a Gestão da Tecnologia da Informação, Comunicação e Inovação no SUS do Maranhão</t>
  </si>
  <si>
    <t>Nº de soluções digitais implantados</t>
  </si>
  <si>
    <t>Qualificar trabalhadores/as, por meio de processos formativos técnicos, de aperfeiçoamento, de atualização, oficinas, simpósios, conferências, workshop, eventos científicos, cursos de curta duração.</t>
  </si>
  <si>
    <t>Nº de certificados emitidos</t>
  </si>
  <si>
    <t>Qualificar trabalhadores/as, por meio de cursos de pós_x0002_graduação lato e stricto sensu, nas modalidades especialização, residência e mestrado.</t>
  </si>
  <si>
    <t>Nº de trabalhadores/a de profissionais qualificados</t>
  </si>
  <si>
    <t>Implementar as ações do Plano Estadual de Gestão do Trabalho e Educação na Saúde.</t>
  </si>
  <si>
    <t>Realizar ações de apoio aos municípios nas Unidades Regionais de Saúde.</t>
  </si>
  <si>
    <t>Potencializar as ações do Conselho Estadual de Saúde.</t>
  </si>
  <si>
    <t>Potencializar as ações do Conselho Estadual de Políticas sobre Drogas.</t>
  </si>
  <si>
    <t>Fortalecer o cofinanciamento da Atenção Primária em Saúde, por meio do Programa Cuidar de Todos.</t>
  </si>
  <si>
    <t>Nº de repasses concedidos</t>
  </si>
  <si>
    <t>Garantir o repasse da Farmácia Básica aos municípios.</t>
  </si>
  <si>
    <t>Ampliar a participação de Consórcios Públicos Interfederativos nas compras compartilhadas.</t>
  </si>
  <si>
    <t>Nº de compras realizadas</t>
  </si>
  <si>
    <t>Garantir o repasse do Serviço Móvel de Urgência (SAMU) aos municípios.</t>
  </si>
  <si>
    <t>Nº de parcelas de repasse realizadas</t>
  </si>
  <si>
    <t>0.85</t>
  </si>
  <si>
    <t>0.65</t>
  </si>
  <si>
    <t>0.89</t>
  </si>
  <si>
    <t>0.98</t>
  </si>
  <si>
    <t>0.93</t>
  </si>
  <si>
    <t>NULL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</si>
</sst>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10" x14ac:knownFonts="1">
    <font>
      <sz val="11"/>
      <color theme="1"/>
      <name val="Calibri"/>
      <family val="2"/>
      <scheme val="minor"/>
    </font>
    <font>
      <sz val="8"/>
      <name val="Calibri"/>
      <family val="2"/>
      <scheme val="minor"/>
    </font>
    <font>
      <b/>
      <sz val="11"/>
      <color theme="0"/>
      <name val="Calibri"/>
      <family val="2"/>
      <scheme val="minor"/>
    </font>
    <font>
      <sz val="11"/>
      <color theme="1"/>
      <name val="Calibri"/>
      <family val="2"/>
      <scheme val="minor"/>
    </font>
    <font>
      <sz val="11"/>
      <color rgb="FF2F2C30"/>
      <name val="Calibri"/>
      <family val="2"/>
      <scheme val="minor"/>
    </font>
    <font>
      <b/>
      <sz val="24"/>
      <color theme="0"/>
      <name val="Arial"/>
      <family val="2"/>
    </font>
    <font>
      <b/>
      <sz val="11"/>
      <color rgb="FF2F2C30"/>
      <name val="Arial"/>
      <family val="2"/>
    </font>
    <font>
      <sz val="12"/>
      <color rgb="FF2F2C30"/>
      <name val="Arial"/>
      <family val="2"/>
    </font>
    <font>
      <sz val="12"/>
      <color theme="1"/>
      <name val="Arial"/>
      <family val="2"/>
    </font>
    <font>
      <b/>
      <sz val="48"/>
      <color theme="0"/>
      <name val="Arial"/>
      <family val="2"/>
    </font>
  </fonts>
  <fills count="7">
    <fill>
      <patternFill patternType="none"/>
    </fill>
    <fill>
      <patternFill patternType="gray125"/>
    </fill>
    <fill>
      <patternFill patternType="solid">
        <fgColor theme="1" tint="0.14999847407452621"/>
        <bgColor indexed="64"/>
      </patternFill>
    </fill>
    <fill>
      <patternFill patternType="solid">
        <fgColor theme="0"/>
        <bgColor indexed="64"/>
      </patternFill>
    </fill>
    <fill>
      <patternFill patternType="solid">
        <fgColor rgb="FF2F2C30"/>
        <bgColor indexed="64"/>
      </patternFill>
    </fill>
    <fill>
      <patternFill patternType="solid">
        <fgColor rgb="FFF0F0F0"/>
        <bgColor indexed="64"/>
      </patternFill>
    </fill>
    <fill>
      <patternFill patternType="solid">
        <fgColor rgb="FF262626"/>
        <bgColor indexed="64"/>
      </patternFill>
    </fill>
  </fills>
  <borders count="2">
    <border>
      <left/>
      <right/>
      <top/>
      <bottom/>
      <diagonal/>
    </border>
    <border>
      <left/>
      <right/>
      <top/>
      <bottom style="double">
        <color rgb="FF2F2C30"/>
      </bottom>
      <diagonal/>
    </border>
  </borders>
  <cellStyleXfs count="2">
    <xf numFmtId="0" fontId="0" fillId="0" borderId="0"/>
    <xf numFmtId="43" fontId="3" fillId="0" borderId="0" applyFont="0" applyFill="0" applyBorder="0" applyAlignment="0" applyProtection="0"/>
  </cellStyleXfs>
  <cellXfs count="23">
    <xf numFmtId="0" fontId="0" fillId="0" borderId="0" xfId="0"/>
    <xf numFmtId="0" fontId="2" fillId="2" borderId="0" xfId="0" applyFont="1" applyFill="1" applyAlignment="1">
      <alignment horizontal="center"/>
    </xf>
    <xf numFmtId="0" fontId="0" fillId="0" borderId="0" xfId="0" applyAlignment="1">
      <alignment horizontal="center"/>
    </xf>
    <xf numFmtId="3" fontId="0" fillId="0" borderId="0" xfId="0" applyNumberFormat="1" applyAlignment="1">
      <alignment horizontal="center"/>
    </xf>
    <xf numFmtId="3" fontId="0" fillId="0" borderId="0" xfId="1" applyNumberFormat="1" applyFont="1" applyFill="1" applyAlignment="1">
      <alignment horizontal="center"/>
    </xf>
    <xf numFmtId="0" fontId="2" fillId="2" borderId="0" xfId="0" applyFont="1" applyFill="1" applyAlignment="1">
      <alignment horizontal="center" vertical="center"/>
    </xf>
    <xf numFmtId="0" fontId="0" fillId="0" borderId="0" xfId="0" applyAlignment="1">
      <alignment horizontal="center" vertical="center"/>
    </xf>
    <xf numFmtId="0" fontId="2" fillId="6" borderId="0" xfId="0" applyFont="1" applyFill="1" applyAlignment="1">
      <alignment horizontal="center"/>
    </xf>
    <xf numFmtId="0" fontId="0" fillId="3" borderId="0" xfId="0" applyFill="1" applyAlignment="1">
      <alignment vertical="center"/>
    </xf>
    <xf numFmtId="0" fontId="0" fillId="3" borderId="0" xfId="0" applyFill="1" applyAlignment="1">
      <alignment vertical="center" wrapText="1"/>
    </xf>
    <xf numFmtId="0" fontId="6" fillId="3" borderId="1" xfId="0" applyFont="1" applyFill="1" applyBorder="1" applyAlignment="1">
      <alignment horizontal="center" vertical="center" wrapText="1"/>
    </xf>
    <xf numFmtId="0" fontId="4" fillId="3" borderId="0" xfId="0" applyFont="1" applyFill="1" applyAlignment="1">
      <alignment horizontal="left" vertical="center" indent="2"/>
    </xf>
    <xf numFmtId="0" fontId="7" fillId="3" borderId="0" xfId="0" applyFont="1" applyFill="1" applyAlignment="1">
      <alignment horizontal="center" vertical="center"/>
    </xf>
    <xf numFmtId="0" fontId="4" fillId="5" borderId="0" xfId="0" applyFont="1" applyFill="1" applyAlignment="1">
      <alignment horizontal="left" vertical="center" indent="2"/>
    </xf>
    <xf numFmtId="0" fontId="8" fillId="5" borderId="0" xfId="0" applyFont="1" applyFill="1" applyAlignment="1">
      <alignment horizontal="center" vertical="center"/>
    </xf>
    <xf numFmtId="0" fontId="8" fillId="3" borderId="0" xfId="0" applyFont="1" applyFill="1" applyAlignment="1">
      <alignment horizontal="center" vertical="center"/>
    </xf>
    <xf numFmtId="0" fontId="0" fillId="4" borderId="0" xfId="0" applyFill="1" applyAlignment="1">
      <alignment vertical="center"/>
    </xf>
    <xf numFmtId="0" fontId="9" fillId="4" borderId="0" xfId="0" applyFont="1" applyFill="1" applyAlignment="1">
      <alignment horizontal="center" vertical="center"/>
    </xf>
    <xf numFmtId="0" fontId="5" fillId="4" borderId="0" xfId="0" applyFont="1" applyFill="1" applyAlignment="1">
      <alignment horizontal="center" vertical="center" wrapText="1"/>
    </xf>
    <xf numFmtId="49" fontId="0" fillId="0" borderId="0" xfId="0" applyNumberFormat="1"/>
    <xf numFmtId="49"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center"/>
    </xf>
  </cellXfs>
  <cellStyles count="2">
    <cellStyle name="Normal" xfId="0" builtinId="0"/>
    <cellStyle name="Vírgula" xfId="1" builtinId="3"/>
  </cellStyles>
  <dxfs count="0"/>
  <tableStyles count="0" defaultTableStyle="TableStyleMedium2" defaultPivotStyle="PivotStyleLight16"/>
  <colors>
    <mruColors>
      <color rgb="FF26262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hyperlink" Target="#'META 1.1.1'!A1"/></Relationships>
</file>

<file path=xl/drawings/drawing1.xml><?xml version="1.0" encoding="utf-8"?>
<xdr:wsDr xmlns:xdr="http://schemas.openxmlformats.org/drawingml/2006/spreadsheetDrawing" xmlns:a="http://schemas.openxmlformats.org/drawingml/2006/main">
  <xdr:twoCellAnchor>
    <xdr:from>
      <xdr:col>0</xdr:col>
      <xdr:colOff>99390</xdr:colOff>
      <xdr:row>220</xdr:row>
      <xdr:rowOff>0</xdr:rowOff>
    </xdr:from>
    <xdr:to>
      <xdr:col>0</xdr:col>
      <xdr:colOff>1954694</xdr:colOff>
      <xdr:row>221</xdr:row>
      <xdr:rowOff>0</xdr:rowOff>
    </xdr:to>
    <xdr:sp macro="" textlink="">
      <xdr:nvSpPr>
        <xdr:cNvPr id="2" name="Seta: Pentágono 1">
          <a:hlinkClick xmlns:r="http://schemas.openxmlformats.org/officeDocument/2006/relationships" r:id="rId1"/>
          <a:extLst>
            <a:ext uri="{FF2B5EF4-FFF2-40B4-BE49-F238E27FC236}">
              <a16:creationId xmlns:a16="http://schemas.microsoft.com/office/drawing/2014/main" id="{D247F85C-5190-4A01-88CE-E221ACE8EE6E}"/>
            </a:ext>
          </a:extLst>
        </xdr:cNvPr>
        <xdr:cNvSpPr/>
      </xdr:nvSpPr>
      <xdr:spPr>
        <a:xfrm flipH="1">
          <a:off x="99390" y="62988825"/>
          <a:ext cx="1950554" cy="504825"/>
        </a:xfrm>
        <a:prstGeom prst="homePlate">
          <a:avLst/>
        </a:prstGeom>
        <a:solidFill>
          <a:srgbClr val="F0F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2400" b="1">
              <a:solidFill>
                <a:srgbClr val="2F2C30"/>
              </a:solidFill>
              <a:latin typeface="Arial" panose="020B0604020202020204" pitchFamily="34" charset="0"/>
              <a:cs typeface="Arial" panose="020B0604020202020204" pitchFamily="34" charset="0"/>
            </a:rPr>
            <a:t>VOLTAR</a:t>
          </a:r>
        </a:p>
      </xdr:txBody>
    </xdr:sp>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D7151-8EBD-415A-A33E-21FC441DBA3E}">
  <dimension ref="A1:B5"/>
  <sheetViews>
    <sheetView workbookViewId="0">
      <selection activeCell="A2" sqref="A2:A5"/>
    </sheetView>
  </sheetViews>
  <sheetFormatPr defaultRowHeight="15" x14ac:dyDescent="0.25"/>
  <cols>
    <col min="1" max="1" width="18.140625" bestFit="1" customWidth="1"/>
    <col min="2" max="2" width="255.7109375" bestFit="1" customWidth="1"/>
    <col min="3" max="15" width="2" bestFit="1" customWidth="1"/>
  </cols>
  <sheetData>
    <row r="1" spans="1:2" x14ac:dyDescent="0.25">
      <c r="A1" s="1" t="s">
        <v>33</v>
      </c>
      <c r="B1" s="1" t="s">
        <v>0</v>
      </c>
    </row>
    <row r="2" spans="1:2" x14ac:dyDescent="0.25">
      <c r="A2" s="19">
        <v>1</v>
      </c>
      <c r="B2" t="s">
        <v>857</v>
      </c>
    </row>
    <row r="3" spans="1:2" x14ac:dyDescent="0.25">
      <c r="A3" s="19">
        <v>2</v>
      </c>
      <c r="B3" t="s">
        <v>858</v>
      </c>
    </row>
    <row r="4" spans="1:2" x14ac:dyDescent="0.25">
      <c r="A4" s="19">
        <v>3</v>
      </c>
      <c r="B4" t="s">
        <v>859</v>
      </c>
    </row>
    <row r="5" spans="1:2" x14ac:dyDescent="0.25">
      <c r="A5" s="19">
        <v>4</v>
      </c>
      <c r="B5" t="s">
        <v>860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5775B-9C85-4FA0-B8F7-F9D3A7F34F82}">
  <dimension ref="A1:D13"/>
  <sheetViews>
    <sheetView topLeftCell="C1" workbookViewId="0">
      <selection activeCell="C2" sqref="C2:C13"/>
    </sheetView>
  </sheetViews>
  <sheetFormatPr defaultRowHeight="15" x14ac:dyDescent="0.25"/>
  <cols>
    <col min="1" max="1" width="18.140625" bestFit="1" customWidth="1"/>
    <col min="2" max="2" width="255.7109375" bestFit="1" customWidth="1"/>
    <col min="3" max="3" width="17.85546875" bestFit="1" customWidth="1"/>
    <col min="4" max="4" width="207.85546875" bestFit="1" customWidth="1"/>
  </cols>
  <sheetData>
    <row r="1" spans="1:4" x14ac:dyDescent="0.25">
      <c r="A1" s="1" t="s">
        <v>33</v>
      </c>
      <c r="B1" s="1" t="s">
        <v>0</v>
      </c>
      <c r="C1" s="1" t="s">
        <v>34</v>
      </c>
      <c r="D1" s="1" t="s">
        <v>1</v>
      </c>
    </row>
    <row r="2" spans="1:4" x14ac:dyDescent="0.25">
      <c r="A2">
        <v>1</v>
      </c>
      <c r="B2" t="str">
        <f>_xlfn.XLOOKUP(A2,Diretriz!A:A,Diretriz!B:B)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2" s="19" t="s">
        <v>4</v>
      </c>
      <c r="D2" t="s">
        <v>861</v>
      </c>
    </row>
    <row r="3" spans="1:4" x14ac:dyDescent="0.25">
      <c r="A3">
        <v>1</v>
      </c>
      <c r="B3" t="str">
        <f>_xlfn.XLOOKUP(A3,Diretriz!A:A,Diretriz!B:B)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3" s="19" t="s">
        <v>5</v>
      </c>
      <c r="D3" t="s">
        <v>862</v>
      </c>
    </row>
    <row r="4" spans="1:4" x14ac:dyDescent="0.25">
      <c r="A4">
        <v>1</v>
      </c>
      <c r="B4" t="str">
        <f>_xlfn.XLOOKUP(A4,Diretriz!A:A,Diretriz!B:B)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4" s="19" t="s">
        <v>6</v>
      </c>
      <c r="D4" t="s">
        <v>863</v>
      </c>
    </row>
    <row r="5" spans="1:4" x14ac:dyDescent="0.25">
      <c r="A5">
        <v>2</v>
      </c>
      <c r="B5" t="str">
        <f>_xlfn.XLOOKUP(A5,Diretriz!A:A,Diretriz!B:B)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5" s="19" t="s">
        <v>7</v>
      </c>
      <c r="D5" t="s">
        <v>864</v>
      </c>
    </row>
    <row r="6" spans="1:4" x14ac:dyDescent="0.25">
      <c r="A6">
        <v>2</v>
      </c>
      <c r="B6" t="str">
        <f>_xlfn.XLOOKUP(A6,Diretriz!A:A,Diretriz!B:B)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6" s="19" t="s">
        <v>8</v>
      </c>
      <c r="D6" t="s">
        <v>865</v>
      </c>
    </row>
    <row r="7" spans="1:4" x14ac:dyDescent="0.25">
      <c r="A7">
        <v>2</v>
      </c>
      <c r="B7" t="str">
        <f>_xlfn.XLOOKUP(A7,Diretriz!A:A,Diretriz!B:B)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7" s="19" t="s">
        <v>9</v>
      </c>
      <c r="D7" t="s">
        <v>866</v>
      </c>
    </row>
    <row r="8" spans="1:4" x14ac:dyDescent="0.25">
      <c r="A8">
        <v>2</v>
      </c>
      <c r="B8" t="str">
        <f>_xlfn.XLOOKUP(A8,Diretriz!A:A,Diretriz!B:B)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8" s="19" t="s">
        <v>10</v>
      </c>
      <c r="D8" t="s">
        <v>867</v>
      </c>
    </row>
    <row r="9" spans="1:4" x14ac:dyDescent="0.25">
      <c r="A9">
        <v>2</v>
      </c>
      <c r="B9" t="str">
        <f>_xlfn.XLOOKUP(A9,Diretriz!A:A,Diretriz!B:B)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9" s="19" t="s">
        <v>11</v>
      </c>
      <c r="D9" t="s">
        <v>868</v>
      </c>
    </row>
    <row r="10" spans="1:4" x14ac:dyDescent="0.25">
      <c r="A10">
        <v>3</v>
      </c>
      <c r="B10" t="str">
        <f>_xlfn.XLOOKUP(A10,Diretriz!A:A,Diretriz!B:B)</f>
        <v>Fortalecer a Gestão Pública, por meio da gestão compartilhada nas regiões de saúde, com aprimoramento do planejamento estratégico e dos instrumentos de gestão, garantindo e fortalecendo as instâncias de controle social.</v>
      </c>
      <c r="C10" s="19" t="s">
        <v>13</v>
      </c>
      <c r="D10" t="s">
        <v>869</v>
      </c>
    </row>
    <row r="11" spans="1:4" x14ac:dyDescent="0.25">
      <c r="A11">
        <v>3</v>
      </c>
      <c r="B11" t="str">
        <f>_xlfn.XLOOKUP(A11,Diretriz!A:A,Diretriz!B:B)</f>
        <v>Fortalecer a Gestão Pública, por meio da gestão compartilhada nas regiões de saúde, com aprimoramento do planejamento estratégico e dos instrumentos de gestão, garantindo e fortalecendo as instâncias de controle social.</v>
      </c>
      <c r="C11" s="19" t="s">
        <v>15</v>
      </c>
      <c r="D11" t="s">
        <v>870</v>
      </c>
    </row>
    <row r="12" spans="1:4" x14ac:dyDescent="0.25">
      <c r="A12">
        <v>3</v>
      </c>
      <c r="B12" t="str">
        <f>_xlfn.XLOOKUP(A12,Diretriz!A:A,Diretriz!B:B)</f>
        <v>Fortalecer a Gestão Pública, por meio da gestão compartilhada nas regiões de saúde, com aprimoramento do planejamento estratégico e dos instrumentos de gestão, garantindo e fortalecendo as instâncias de controle social.</v>
      </c>
      <c r="C12" s="19" t="s">
        <v>18</v>
      </c>
      <c r="D12" t="s">
        <v>871</v>
      </c>
    </row>
    <row r="13" spans="1:4" x14ac:dyDescent="0.25">
      <c r="A13">
        <v>4</v>
      </c>
      <c r="B13" t="str">
        <f>_xlfn.XLOOKUP(A13,Diretriz!A:A,Diretriz!B:B)</f>
        <v>Garantir o financiamento público e sustentável ao Sistema Único de Saúde, melhorando o padrão de gastos e qualificando o financiamento tripartite em saúde.</v>
      </c>
      <c r="C13" s="19" t="s">
        <v>28</v>
      </c>
      <c r="D13" t="s">
        <v>872</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48864-E724-43AB-9D5B-208B2987AADC}">
  <dimension ref="A1:H123"/>
  <sheetViews>
    <sheetView workbookViewId="0">
      <pane xSplit="3" topLeftCell="F1" activePane="topRight" state="frozen"/>
      <selection pane="topRight" activeCell="I1" sqref="I1:Z1048576"/>
    </sheetView>
  </sheetViews>
  <sheetFormatPr defaultRowHeight="15" x14ac:dyDescent="0.25"/>
  <cols>
    <col min="1" max="1" width="18.140625" style="2" bestFit="1" customWidth="1"/>
    <col min="2" max="2" width="17.85546875" style="2" bestFit="1" customWidth="1"/>
    <col min="3" max="3" width="16" style="2" bestFit="1" customWidth="1"/>
    <col min="4" max="4" width="188.140625" bestFit="1" customWidth="1"/>
    <col min="5" max="5" width="47.42578125" style="2" customWidth="1"/>
    <col min="6" max="6" width="38" style="2" customWidth="1"/>
    <col min="7" max="7" width="29.28515625" style="2" customWidth="1"/>
    <col min="8" max="8" width="30" style="2" bestFit="1" customWidth="1"/>
  </cols>
  <sheetData>
    <row r="1" spans="1:8" x14ac:dyDescent="0.25">
      <c r="A1" s="1" t="s">
        <v>33</v>
      </c>
      <c r="B1" s="1" t="s">
        <v>873</v>
      </c>
      <c r="C1" s="1" t="s">
        <v>3</v>
      </c>
      <c r="D1" s="1" t="s">
        <v>80</v>
      </c>
      <c r="E1" s="1" t="s">
        <v>2</v>
      </c>
      <c r="F1" s="1" t="s">
        <v>12</v>
      </c>
      <c r="G1" s="1" t="s">
        <v>82</v>
      </c>
      <c r="H1" s="1" t="s">
        <v>81</v>
      </c>
    </row>
    <row r="2" spans="1:8" x14ac:dyDescent="0.25">
      <c r="A2" s="20">
        <v>1</v>
      </c>
      <c r="B2" s="20" t="s">
        <v>4</v>
      </c>
      <c r="C2" s="20" t="s">
        <v>35</v>
      </c>
      <c r="D2" t="s">
        <v>874</v>
      </c>
      <c r="E2" s="2" t="s">
        <v>875</v>
      </c>
      <c r="F2" s="2" t="s">
        <v>751</v>
      </c>
      <c r="G2" s="2">
        <v>217</v>
      </c>
      <c r="H2" s="3">
        <v>57</v>
      </c>
    </row>
    <row r="3" spans="1:8" x14ac:dyDescent="0.25">
      <c r="A3" s="20">
        <v>1</v>
      </c>
      <c r="B3" s="20" t="s">
        <v>4</v>
      </c>
      <c r="C3" s="20" t="s">
        <v>36</v>
      </c>
      <c r="D3" t="s">
        <v>876</v>
      </c>
      <c r="E3" s="2" t="s">
        <v>875</v>
      </c>
      <c r="F3" s="2" t="s">
        <v>751</v>
      </c>
      <c r="G3" s="2">
        <v>217</v>
      </c>
      <c r="H3" s="3">
        <v>59</v>
      </c>
    </row>
    <row r="4" spans="1:8" x14ac:dyDescent="0.25">
      <c r="A4" s="20">
        <v>1</v>
      </c>
      <c r="B4" s="20" t="s">
        <v>4</v>
      </c>
      <c r="C4" s="20" t="s">
        <v>37</v>
      </c>
      <c r="D4" t="s">
        <v>877</v>
      </c>
      <c r="E4" s="2" t="s">
        <v>875</v>
      </c>
      <c r="F4" s="2" t="s">
        <v>751</v>
      </c>
      <c r="G4" s="2">
        <v>217</v>
      </c>
      <c r="H4" s="3">
        <v>60</v>
      </c>
    </row>
    <row r="5" spans="1:8" x14ac:dyDescent="0.25">
      <c r="A5" s="20">
        <v>1</v>
      </c>
      <c r="B5" s="20" t="s">
        <v>4</v>
      </c>
      <c r="C5" s="20" t="s">
        <v>38</v>
      </c>
      <c r="D5" t="s">
        <v>878</v>
      </c>
      <c r="E5" s="2" t="s">
        <v>879</v>
      </c>
      <c r="F5" s="2" t="s">
        <v>751</v>
      </c>
      <c r="G5" s="2">
        <v>47</v>
      </c>
      <c r="H5" s="3">
        <v>47</v>
      </c>
    </row>
    <row r="6" spans="1:8" x14ac:dyDescent="0.25">
      <c r="A6" s="20">
        <v>1</v>
      </c>
      <c r="B6" s="20" t="s">
        <v>4</v>
      </c>
      <c r="C6" s="20" t="s">
        <v>39</v>
      </c>
      <c r="D6" t="s">
        <v>880</v>
      </c>
      <c r="E6" s="2" t="s">
        <v>875</v>
      </c>
      <c r="F6" s="2" t="s">
        <v>751</v>
      </c>
      <c r="G6" s="2">
        <v>217</v>
      </c>
      <c r="H6" s="3">
        <v>53</v>
      </c>
    </row>
    <row r="7" spans="1:8" x14ac:dyDescent="0.25">
      <c r="A7" s="20">
        <v>1</v>
      </c>
      <c r="B7" s="20" t="s">
        <v>4</v>
      </c>
      <c r="C7" s="20" t="s">
        <v>40</v>
      </c>
      <c r="D7" t="s">
        <v>881</v>
      </c>
      <c r="E7" s="2" t="s">
        <v>875</v>
      </c>
      <c r="F7" s="2" t="s">
        <v>751</v>
      </c>
      <c r="G7" s="2">
        <v>217</v>
      </c>
      <c r="H7" s="3">
        <v>86</v>
      </c>
    </row>
    <row r="8" spans="1:8" x14ac:dyDescent="0.25">
      <c r="A8" s="20">
        <v>1</v>
      </c>
      <c r="B8" s="20" t="s">
        <v>4</v>
      </c>
      <c r="C8" s="20" t="s">
        <v>41</v>
      </c>
      <c r="D8" t="s">
        <v>882</v>
      </c>
      <c r="E8" s="2" t="s">
        <v>875</v>
      </c>
      <c r="F8" s="2" t="s">
        <v>751</v>
      </c>
      <c r="G8" s="2">
        <v>217</v>
      </c>
      <c r="H8" s="3">
        <v>58</v>
      </c>
    </row>
    <row r="9" spans="1:8" x14ac:dyDescent="0.25">
      <c r="A9" s="20">
        <v>1</v>
      </c>
      <c r="B9" s="20" t="s">
        <v>4</v>
      </c>
      <c r="C9" s="20" t="s">
        <v>42</v>
      </c>
      <c r="D9" t="s">
        <v>883</v>
      </c>
      <c r="E9" s="2" t="s">
        <v>875</v>
      </c>
      <c r="F9" s="2" t="s">
        <v>751</v>
      </c>
      <c r="G9" s="2">
        <v>217</v>
      </c>
      <c r="H9" s="3">
        <v>57</v>
      </c>
    </row>
    <row r="10" spans="1:8" x14ac:dyDescent="0.25">
      <c r="A10" s="20">
        <v>1</v>
      </c>
      <c r="B10" s="20" t="s">
        <v>4</v>
      </c>
      <c r="C10" s="20" t="s">
        <v>43</v>
      </c>
      <c r="D10" t="s">
        <v>884</v>
      </c>
      <c r="E10" s="2" t="s">
        <v>875</v>
      </c>
      <c r="F10" s="2" t="s">
        <v>751</v>
      </c>
      <c r="G10" s="2">
        <v>217</v>
      </c>
      <c r="H10" s="3">
        <v>55</v>
      </c>
    </row>
    <row r="11" spans="1:8" x14ac:dyDescent="0.25">
      <c r="A11" s="20">
        <v>1</v>
      </c>
      <c r="B11" s="20" t="s">
        <v>4</v>
      </c>
      <c r="C11" s="20" t="s">
        <v>44</v>
      </c>
      <c r="D11" t="s">
        <v>885</v>
      </c>
      <c r="E11" s="2" t="s">
        <v>875</v>
      </c>
      <c r="F11" s="2" t="s">
        <v>751</v>
      </c>
      <c r="G11" s="2">
        <v>217</v>
      </c>
      <c r="H11" s="3">
        <v>50</v>
      </c>
    </row>
    <row r="12" spans="1:8" x14ac:dyDescent="0.25">
      <c r="A12" s="20">
        <v>1</v>
      </c>
      <c r="B12" s="20" t="s">
        <v>4</v>
      </c>
      <c r="C12" s="20" t="s">
        <v>45</v>
      </c>
      <c r="D12" t="s">
        <v>886</v>
      </c>
      <c r="E12" s="2" t="s">
        <v>887</v>
      </c>
      <c r="F12" s="2" t="s">
        <v>751</v>
      </c>
      <c r="G12" s="2">
        <v>402</v>
      </c>
      <c r="H12" s="3">
        <v>497</v>
      </c>
    </row>
    <row r="13" spans="1:8" x14ac:dyDescent="0.25">
      <c r="A13" s="20">
        <v>1</v>
      </c>
      <c r="B13" s="20" t="s">
        <v>4</v>
      </c>
      <c r="C13" s="20" t="s">
        <v>46</v>
      </c>
      <c r="D13" t="s">
        <v>888</v>
      </c>
      <c r="E13" s="2" t="s">
        <v>875</v>
      </c>
      <c r="F13" s="2" t="s">
        <v>751</v>
      </c>
      <c r="G13" s="2">
        <v>217</v>
      </c>
      <c r="H13" s="3">
        <v>57</v>
      </c>
    </row>
    <row r="14" spans="1:8" x14ac:dyDescent="0.25">
      <c r="A14" s="20">
        <v>1</v>
      </c>
      <c r="B14" s="20" t="s">
        <v>4</v>
      </c>
      <c r="C14" s="20" t="s">
        <v>47</v>
      </c>
      <c r="D14" t="s">
        <v>889</v>
      </c>
      <c r="E14" s="2" t="s">
        <v>875</v>
      </c>
      <c r="F14" s="2" t="s">
        <v>751</v>
      </c>
      <c r="G14" s="2">
        <v>217</v>
      </c>
      <c r="H14" s="3">
        <v>217</v>
      </c>
    </row>
    <row r="15" spans="1:8" x14ac:dyDescent="0.25">
      <c r="A15" s="20">
        <v>1</v>
      </c>
      <c r="B15" s="20" t="s">
        <v>5</v>
      </c>
      <c r="C15" s="20" t="s">
        <v>48</v>
      </c>
      <c r="D15" t="s">
        <v>890</v>
      </c>
      <c r="E15" s="2" t="s">
        <v>891</v>
      </c>
      <c r="F15" s="2" t="s">
        <v>892</v>
      </c>
      <c r="G15" s="3">
        <v>2889</v>
      </c>
      <c r="H15" s="4">
        <v>685</v>
      </c>
    </row>
    <row r="16" spans="1:8" x14ac:dyDescent="0.25">
      <c r="A16" s="20">
        <v>1</v>
      </c>
      <c r="B16" s="20" t="s">
        <v>5</v>
      </c>
      <c r="C16" s="20" t="s">
        <v>79</v>
      </c>
      <c r="D16" t="s">
        <v>893</v>
      </c>
      <c r="E16" s="2" t="s">
        <v>891</v>
      </c>
      <c r="F16" s="2" t="s">
        <v>892</v>
      </c>
      <c r="G16" s="3">
        <v>1350</v>
      </c>
      <c r="H16" s="4">
        <v>300</v>
      </c>
    </row>
    <row r="17" spans="1:8" x14ac:dyDescent="0.25">
      <c r="A17" s="20">
        <v>1</v>
      </c>
      <c r="B17" s="20" t="s">
        <v>5</v>
      </c>
      <c r="C17" s="20" t="s">
        <v>49</v>
      </c>
      <c r="D17" t="s">
        <v>894</v>
      </c>
      <c r="E17" s="2" t="s">
        <v>891</v>
      </c>
      <c r="F17" s="2" t="s">
        <v>892</v>
      </c>
      <c r="G17" s="3">
        <v>100000</v>
      </c>
      <c r="H17" s="4">
        <v>24000</v>
      </c>
    </row>
    <row r="18" spans="1:8" x14ac:dyDescent="0.25">
      <c r="A18" s="20">
        <v>1</v>
      </c>
      <c r="B18" s="20" t="s">
        <v>5</v>
      </c>
      <c r="C18" s="20" t="s">
        <v>50</v>
      </c>
      <c r="D18" t="s">
        <v>895</v>
      </c>
      <c r="E18" s="2" t="s">
        <v>891</v>
      </c>
      <c r="F18" s="2" t="s">
        <v>892</v>
      </c>
      <c r="G18" s="3">
        <v>262</v>
      </c>
      <c r="H18" s="4">
        <v>64</v>
      </c>
    </row>
    <row r="19" spans="1:8" x14ac:dyDescent="0.25">
      <c r="A19" s="20">
        <v>1</v>
      </c>
      <c r="B19" s="20" t="s">
        <v>5</v>
      </c>
      <c r="C19" s="20" t="s">
        <v>51</v>
      </c>
      <c r="D19" t="s">
        <v>896</v>
      </c>
      <c r="E19" s="2" t="s">
        <v>897</v>
      </c>
      <c r="F19" s="2" t="s">
        <v>892</v>
      </c>
      <c r="G19" s="3">
        <v>753600</v>
      </c>
      <c r="H19" s="4">
        <v>188400</v>
      </c>
    </row>
    <row r="20" spans="1:8" x14ac:dyDescent="0.25">
      <c r="A20" s="20">
        <v>1</v>
      </c>
      <c r="B20" s="20" t="s">
        <v>5</v>
      </c>
      <c r="C20" s="20" t="s">
        <v>52</v>
      </c>
      <c r="D20" t="s">
        <v>898</v>
      </c>
      <c r="E20" s="2" t="s">
        <v>891</v>
      </c>
      <c r="F20" s="2" t="s">
        <v>751</v>
      </c>
      <c r="G20" s="3">
        <v>60595</v>
      </c>
      <c r="H20" s="4">
        <v>14056</v>
      </c>
    </row>
    <row r="21" spans="1:8" x14ac:dyDescent="0.25">
      <c r="A21" s="20">
        <v>1</v>
      </c>
      <c r="B21" s="20" t="s">
        <v>5</v>
      </c>
      <c r="C21" s="20" t="s">
        <v>53</v>
      </c>
      <c r="D21" t="s">
        <v>899</v>
      </c>
      <c r="E21" s="2" t="s">
        <v>900</v>
      </c>
      <c r="F21" s="2" t="s">
        <v>751</v>
      </c>
      <c r="G21" s="3">
        <v>217</v>
      </c>
      <c r="H21" s="4">
        <v>60</v>
      </c>
    </row>
    <row r="22" spans="1:8" x14ac:dyDescent="0.25">
      <c r="A22" s="20">
        <v>1</v>
      </c>
      <c r="B22" s="20" t="s">
        <v>6</v>
      </c>
      <c r="C22" s="20" t="s">
        <v>54</v>
      </c>
      <c r="D22" t="s">
        <v>901</v>
      </c>
      <c r="E22" s="2" t="s">
        <v>902</v>
      </c>
      <c r="F22" s="2" t="s">
        <v>892</v>
      </c>
      <c r="G22" s="3">
        <v>1370721</v>
      </c>
      <c r="H22" s="3">
        <v>323533</v>
      </c>
    </row>
    <row r="23" spans="1:8" x14ac:dyDescent="0.25">
      <c r="A23" s="20">
        <v>1</v>
      </c>
      <c r="B23" s="20" t="s">
        <v>6</v>
      </c>
      <c r="C23" s="20" t="s">
        <v>55</v>
      </c>
      <c r="D23" t="s">
        <v>903</v>
      </c>
      <c r="E23" s="2" t="s">
        <v>902</v>
      </c>
      <c r="F23" s="2" t="s">
        <v>892</v>
      </c>
      <c r="G23" s="3">
        <v>45568</v>
      </c>
      <c r="H23" s="3">
        <v>11248</v>
      </c>
    </row>
    <row r="24" spans="1:8" x14ac:dyDescent="0.25">
      <c r="A24" s="20">
        <v>1</v>
      </c>
      <c r="B24" s="20" t="s">
        <v>6</v>
      </c>
      <c r="C24" s="20" t="s">
        <v>56</v>
      </c>
      <c r="D24" t="s">
        <v>904</v>
      </c>
      <c r="E24" s="2" t="s">
        <v>905</v>
      </c>
      <c r="F24" s="2" t="s">
        <v>892</v>
      </c>
      <c r="G24" s="3">
        <v>7</v>
      </c>
      <c r="H24" s="3">
        <v>2</v>
      </c>
    </row>
    <row r="25" spans="1:8" x14ac:dyDescent="0.25">
      <c r="A25" s="20">
        <v>1</v>
      </c>
      <c r="B25" s="20" t="s">
        <v>6</v>
      </c>
      <c r="C25" s="20" t="s">
        <v>57</v>
      </c>
      <c r="D25" t="s">
        <v>906</v>
      </c>
      <c r="E25" s="2" t="s">
        <v>902</v>
      </c>
      <c r="F25" s="2" t="s">
        <v>892</v>
      </c>
      <c r="G25" s="3">
        <v>439120</v>
      </c>
      <c r="H25" s="3">
        <v>104079</v>
      </c>
    </row>
    <row r="26" spans="1:8" x14ac:dyDescent="0.25">
      <c r="A26" s="20">
        <v>2</v>
      </c>
      <c r="B26" s="20" t="s">
        <v>7</v>
      </c>
      <c r="C26" s="20" t="s">
        <v>58</v>
      </c>
      <c r="D26" t="s">
        <v>907</v>
      </c>
      <c r="E26" s="2" t="s">
        <v>908</v>
      </c>
      <c r="F26" s="2" t="s">
        <v>892</v>
      </c>
      <c r="G26" s="3">
        <v>109996043</v>
      </c>
      <c r="H26" s="3">
        <v>27360845</v>
      </c>
    </row>
    <row r="27" spans="1:8" x14ac:dyDescent="0.25">
      <c r="A27" s="20">
        <v>2</v>
      </c>
      <c r="B27" s="20" t="s">
        <v>7</v>
      </c>
      <c r="C27" s="20" t="s">
        <v>59</v>
      </c>
      <c r="D27" t="s">
        <v>909</v>
      </c>
      <c r="E27" s="2" t="s">
        <v>908</v>
      </c>
      <c r="F27" s="2" t="s">
        <v>892</v>
      </c>
      <c r="G27" s="3">
        <v>2244817</v>
      </c>
      <c r="H27" s="3">
        <v>179470</v>
      </c>
    </row>
    <row r="28" spans="1:8" x14ac:dyDescent="0.25">
      <c r="A28" s="20">
        <v>2</v>
      </c>
      <c r="B28" s="20" t="s">
        <v>7</v>
      </c>
      <c r="C28" s="20" t="s">
        <v>60</v>
      </c>
      <c r="D28" t="s">
        <v>910</v>
      </c>
      <c r="E28" s="2" t="s">
        <v>908</v>
      </c>
      <c r="F28" s="2" t="s">
        <v>892</v>
      </c>
      <c r="G28" s="3">
        <v>1437206</v>
      </c>
      <c r="H28" s="3">
        <v>524120</v>
      </c>
    </row>
    <row r="29" spans="1:8" x14ac:dyDescent="0.25">
      <c r="A29" s="20">
        <v>2</v>
      </c>
      <c r="B29" s="20" t="s">
        <v>7</v>
      </c>
      <c r="C29" s="20" t="s">
        <v>61</v>
      </c>
      <c r="D29" t="s">
        <v>911</v>
      </c>
      <c r="E29" s="2" t="s">
        <v>912</v>
      </c>
      <c r="F29" s="2" t="s">
        <v>913</v>
      </c>
      <c r="G29" s="2" t="s">
        <v>966</v>
      </c>
      <c r="H29" s="2" t="s">
        <v>967</v>
      </c>
    </row>
    <row r="30" spans="1:8" x14ac:dyDescent="0.25">
      <c r="A30" s="20">
        <v>2</v>
      </c>
      <c r="B30" s="20" t="s">
        <v>7</v>
      </c>
      <c r="C30" s="20" t="s">
        <v>62</v>
      </c>
      <c r="D30" t="s">
        <v>914</v>
      </c>
      <c r="E30" s="2" t="s">
        <v>915</v>
      </c>
      <c r="F30" s="2" t="s">
        <v>913</v>
      </c>
      <c r="G30" s="2">
        <v>1</v>
      </c>
      <c r="H30" s="2" t="s">
        <v>968</v>
      </c>
    </row>
    <row r="31" spans="1:8" x14ac:dyDescent="0.25">
      <c r="A31" s="20">
        <v>2</v>
      </c>
      <c r="B31" s="20" t="s">
        <v>7</v>
      </c>
      <c r="C31" s="20" t="s">
        <v>63</v>
      </c>
      <c r="D31" t="s">
        <v>916</v>
      </c>
      <c r="E31" s="2" t="s">
        <v>917</v>
      </c>
      <c r="F31" s="2" t="s">
        <v>913</v>
      </c>
      <c r="G31" s="2">
        <v>1</v>
      </c>
      <c r="H31" s="2" t="s">
        <v>969</v>
      </c>
    </row>
    <row r="32" spans="1:8" x14ac:dyDescent="0.25">
      <c r="A32" s="20">
        <v>2</v>
      </c>
      <c r="B32" s="20" t="s">
        <v>7</v>
      </c>
      <c r="C32" s="20" t="s">
        <v>64</v>
      </c>
      <c r="D32" t="s">
        <v>918</v>
      </c>
      <c r="E32" s="2" t="s">
        <v>915</v>
      </c>
      <c r="F32" s="2" t="s">
        <v>913</v>
      </c>
      <c r="G32" s="2">
        <v>1</v>
      </c>
      <c r="H32" s="2" t="s">
        <v>970</v>
      </c>
    </row>
    <row r="33" spans="1:8" x14ac:dyDescent="0.25">
      <c r="A33" s="20">
        <v>2</v>
      </c>
      <c r="B33" s="20" t="s">
        <v>7</v>
      </c>
      <c r="C33" s="20" t="s">
        <v>65</v>
      </c>
      <c r="D33" t="s">
        <v>919</v>
      </c>
      <c r="E33" s="2" t="s">
        <v>908</v>
      </c>
      <c r="F33" s="2" t="s">
        <v>892</v>
      </c>
      <c r="G33" s="3">
        <v>386800</v>
      </c>
      <c r="H33" s="3">
        <v>96700</v>
      </c>
    </row>
    <row r="34" spans="1:8" x14ac:dyDescent="0.25">
      <c r="A34" s="20">
        <v>2</v>
      </c>
      <c r="B34" s="20" t="s">
        <v>7</v>
      </c>
      <c r="C34" s="20" t="s">
        <v>66</v>
      </c>
      <c r="D34" t="s">
        <v>920</v>
      </c>
      <c r="E34" s="2" t="s">
        <v>908</v>
      </c>
      <c r="F34" s="2" t="s">
        <v>892</v>
      </c>
      <c r="G34" s="3">
        <v>5491073</v>
      </c>
      <c r="H34" s="3">
        <v>1337694</v>
      </c>
    </row>
    <row r="35" spans="1:8" x14ac:dyDescent="0.25">
      <c r="A35" s="20">
        <v>2</v>
      </c>
      <c r="B35" s="20" t="s">
        <v>7</v>
      </c>
      <c r="C35" s="20" t="s">
        <v>67</v>
      </c>
      <c r="D35" t="s">
        <v>921</v>
      </c>
      <c r="E35" s="2" t="s">
        <v>875</v>
      </c>
      <c r="F35" s="2" t="s">
        <v>892</v>
      </c>
      <c r="G35" s="3">
        <v>64</v>
      </c>
      <c r="H35" s="3">
        <v>56</v>
      </c>
    </row>
    <row r="36" spans="1:8" x14ac:dyDescent="0.25">
      <c r="A36" s="20">
        <v>2</v>
      </c>
      <c r="B36" s="20" t="s">
        <v>8</v>
      </c>
      <c r="C36" s="20" t="s">
        <v>68</v>
      </c>
      <c r="D36" t="s">
        <v>922</v>
      </c>
      <c r="E36" s="2" t="s">
        <v>923</v>
      </c>
      <c r="F36" s="2" t="s">
        <v>892</v>
      </c>
      <c r="G36" s="3">
        <v>858</v>
      </c>
      <c r="H36" s="3">
        <v>206</v>
      </c>
    </row>
    <row r="37" spans="1:8" x14ac:dyDescent="0.25">
      <c r="A37" s="20">
        <v>2</v>
      </c>
      <c r="B37" s="20" t="s">
        <v>8</v>
      </c>
      <c r="C37" s="20" t="s">
        <v>69</v>
      </c>
      <c r="D37" t="s">
        <v>924</v>
      </c>
      <c r="E37" s="2" t="s">
        <v>925</v>
      </c>
      <c r="F37" s="2" t="s">
        <v>892</v>
      </c>
      <c r="G37" s="3">
        <v>60</v>
      </c>
      <c r="H37" s="3">
        <v>15</v>
      </c>
    </row>
    <row r="38" spans="1:8" x14ac:dyDescent="0.25">
      <c r="A38" s="20">
        <v>2</v>
      </c>
      <c r="B38" s="20" t="s">
        <v>8</v>
      </c>
      <c r="C38" s="20" t="s">
        <v>70</v>
      </c>
      <c r="D38" t="s">
        <v>926</v>
      </c>
      <c r="E38" s="2" t="s">
        <v>927</v>
      </c>
      <c r="F38" s="2" t="s">
        <v>892</v>
      </c>
      <c r="G38" s="3">
        <v>133</v>
      </c>
      <c r="H38" s="3">
        <v>280</v>
      </c>
    </row>
    <row r="39" spans="1:8" x14ac:dyDescent="0.25">
      <c r="A39" s="20">
        <v>2</v>
      </c>
      <c r="B39" s="20" t="s">
        <v>9</v>
      </c>
      <c r="C39" s="20" t="s">
        <v>71</v>
      </c>
      <c r="D39" t="s">
        <v>928</v>
      </c>
      <c r="E39" s="2" t="s">
        <v>929</v>
      </c>
      <c r="F39" s="2" t="s">
        <v>892</v>
      </c>
      <c r="G39" s="3">
        <v>1905845</v>
      </c>
      <c r="H39" s="3">
        <v>463862</v>
      </c>
    </row>
    <row r="40" spans="1:8" x14ac:dyDescent="0.25">
      <c r="A40" s="20">
        <v>2</v>
      </c>
      <c r="B40" s="20" t="s">
        <v>9</v>
      </c>
      <c r="C40" s="20" t="s">
        <v>72</v>
      </c>
      <c r="D40" t="s">
        <v>930</v>
      </c>
      <c r="E40" s="2" t="s">
        <v>931</v>
      </c>
      <c r="F40" s="2" t="s">
        <v>892</v>
      </c>
      <c r="G40" s="3">
        <v>117600</v>
      </c>
      <c r="H40" s="3">
        <v>28968</v>
      </c>
    </row>
    <row r="41" spans="1:8" x14ac:dyDescent="0.25">
      <c r="A41" s="20">
        <v>2</v>
      </c>
      <c r="B41" s="20" t="s">
        <v>9</v>
      </c>
      <c r="C41" s="20" t="s">
        <v>73</v>
      </c>
      <c r="D41" t="s">
        <v>932</v>
      </c>
      <c r="E41" s="2" t="s">
        <v>933</v>
      </c>
      <c r="F41" s="2" t="s">
        <v>892</v>
      </c>
      <c r="G41" s="3">
        <v>118104</v>
      </c>
      <c r="H41" s="3">
        <v>38670</v>
      </c>
    </row>
    <row r="42" spans="1:8" x14ac:dyDescent="0.25">
      <c r="A42" s="20">
        <v>2</v>
      </c>
      <c r="B42" s="20" t="s">
        <v>9</v>
      </c>
      <c r="C42" s="20" t="s">
        <v>74</v>
      </c>
      <c r="D42" t="s">
        <v>934</v>
      </c>
      <c r="E42" s="2" t="s">
        <v>935</v>
      </c>
      <c r="F42" s="2" t="s">
        <v>892</v>
      </c>
      <c r="G42" s="3">
        <v>6515325</v>
      </c>
      <c r="H42" s="3">
        <v>1586977</v>
      </c>
    </row>
    <row r="43" spans="1:8" x14ac:dyDescent="0.25">
      <c r="A43" s="20">
        <v>2</v>
      </c>
      <c r="B43" s="20" t="s">
        <v>10</v>
      </c>
      <c r="C43" s="20" t="s">
        <v>75</v>
      </c>
      <c r="D43" t="s">
        <v>936</v>
      </c>
      <c r="E43" s="2" t="s">
        <v>908</v>
      </c>
      <c r="F43" s="2" t="s">
        <v>892</v>
      </c>
      <c r="G43" s="3">
        <v>256151</v>
      </c>
      <c r="H43" s="3">
        <v>63715</v>
      </c>
    </row>
    <row r="44" spans="1:8" x14ac:dyDescent="0.25">
      <c r="A44" s="20">
        <v>2</v>
      </c>
      <c r="B44" s="20" t="s">
        <v>10</v>
      </c>
      <c r="C44" s="20" t="s">
        <v>76</v>
      </c>
      <c r="D44" t="s">
        <v>937</v>
      </c>
      <c r="E44" s="2" t="s">
        <v>908</v>
      </c>
      <c r="F44" s="2" t="s">
        <v>892</v>
      </c>
      <c r="G44" s="3">
        <v>265967</v>
      </c>
      <c r="H44" s="3">
        <v>66150</v>
      </c>
    </row>
    <row r="45" spans="1:8" x14ac:dyDescent="0.25">
      <c r="A45" s="20">
        <v>2</v>
      </c>
      <c r="B45" s="20" t="s">
        <v>11</v>
      </c>
      <c r="C45" s="20" t="s">
        <v>77</v>
      </c>
      <c r="D45" t="s">
        <v>938</v>
      </c>
      <c r="E45" s="2" t="s">
        <v>939</v>
      </c>
      <c r="F45" s="2" t="s">
        <v>892</v>
      </c>
      <c r="G45" s="3">
        <v>19</v>
      </c>
      <c r="H45" s="3">
        <v>6</v>
      </c>
    </row>
    <row r="46" spans="1:8" x14ac:dyDescent="0.25">
      <c r="A46" s="20">
        <v>2</v>
      </c>
      <c r="B46" s="20" t="s">
        <v>11</v>
      </c>
      <c r="C46" s="20" t="s">
        <v>78</v>
      </c>
      <c r="D46" t="s">
        <v>940</v>
      </c>
      <c r="E46" s="2" t="s">
        <v>939</v>
      </c>
      <c r="F46" s="2" t="s">
        <v>892</v>
      </c>
      <c r="G46" s="3">
        <v>19</v>
      </c>
      <c r="H46" s="3">
        <v>19</v>
      </c>
    </row>
    <row r="47" spans="1:8" x14ac:dyDescent="0.25">
      <c r="A47" s="20">
        <v>3</v>
      </c>
      <c r="B47" s="20" t="s">
        <v>13</v>
      </c>
      <c r="C47" s="20" t="s">
        <v>14</v>
      </c>
      <c r="D47" t="s">
        <v>941</v>
      </c>
      <c r="E47" s="2" t="s">
        <v>942</v>
      </c>
      <c r="F47" s="2" t="s">
        <v>892</v>
      </c>
      <c r="G47" s="3">
        <v>245</v>
      </c>
      <c r="H47" s="3">
        <v>22</v>
      </c>
    </row>
    <row r="48" spans="1:8" x14ac:dyDescent="0.25">
      <c r="A48" s="20">
        <v>3</v>
      </c>
      <c r="B48" s="20" t="s">
        <v>13</v>
      </c>
      <c r="C48" s="20" t="s">
        <v>19</v>
      </c>
      <c r="D48" t="s">
        <v>943</v>
      </c>
      <c r="E48" s="2" t="s">
        <v>944</v>
      </c>
      <c r="F48" s="2" t="s">
        <v>892</v>
      </c>
      <c r="G48" s="3">
        <v>35</v>
      </c>
      <c r="H48" s="3">
        <v>8</v>
      </c>
    </row>
    <row r="49" spans="1:8" x14ac:dyDescent="0.25">
      <c r="A49" s="20">
        <v>3</v>
      </c>
      <c r="B49" s="20" t="s">
        <v>13</v>
      </c>
      <c r="C49" s="20" t="s">
        <v>20</v>
      </c>
      <c r="D49" t="s">
        <v>945</v>
      </c>
      <c r="E49" s="2" t="s">
        <v>944</v>
      </c>
      <c r="F49" s="2" t="s">
        <v>892</v>
      </c>
      <c r="G49" s="3">
        <v>2720</v>
      </c>
      <c r="H49" s="3">
        <v>680</v>
      </c>
    </row>
    <row r="50" spans="1:8" x14ac:dyDescent="0.25">
      <c r="A50" s="20">
        <v>3</v>
      </c>
      <c r="B50" s="20" t="s">
        <v>13</v>
      </c>
      <c r="C50" s="20" t="s">
        <v>21</v>
      </c>
      <c r="D50" t="s">
        <v>946</v>
      </c>
      <c r="E50" s="2" t="s">
        <v>947</v>
      </c>
      <c r="F50" s="2" t="s">
        <v>892</v>
      </c>
      <c r="G50" s="3">
        <v>763</v>
      </c>
      <c r="H50" s="3">
        <v>186</v>
      </c>
    </row>
    <row r="51" spans="1:8" x14ac:dyDescent="0.25">
      <c r="A51" s="20">
        <v>3</v>
      </c>
      <c r="B51" s="20" t="s">
        <v>13</v>
      </c>
      <c r="C51" s="20" t="s">
        <v>22</v>
      </c>
      <c r="D51" t="s">
        <v>948</v>
      </c>
      <c r="E51" s="2" t="s">
        <v>944</v>
      </c>
      <c r="F51" s="2" t="s">
        <v>892</v>
      </c>
      <c r="G51" s="3">
        <v>65</v>
      </c>
      <c r="H51" s="3">
        <v>15</v>
      </c>
    </row>
    <row r="52" spans="1:8" x14ac:dyDescent="0.25">
      <c r="A52" s="20">
        <v>3</v>
      </c>
      <c r="B52" s="20" t="s">
        <v>13</v>
      </c>
      <c r="C52" s="20" t="s">
        <v>23</v>
      </c>
      <c r="D52" t="s">
        <v>949</v>
      </c>
      <c r="E52" s="2" t="s">
        <v>950</v>
      </c>
      <c r="F52" s="2" t="s">
        <v>892</v>
      </c>
      <c r="G52" s="3">
        <v>28</v>
      </c>
      <c r="H52" s="3">
        <v>6</v>
      </c>
    </row>
    <row r="53" spans="1:8" x14ac:dyDescent="0.25">
      <c r="A53" s="20">
        <v>3</v>
      </c>
      <c r="B53" s="20" t="s">
        <v>15</v>
      </c>
      <c r="C53" s="20" t="s">
        <v>16</v>
      </c>
      <c r="D53" t="s">
        <v>951</v>
      </c>
      <c r="E53" s="2" t="s">
        <v>952</v>
      </c>
      <c r="F53" s="2" t="s">
        <v>892</v>
      </c>
      <c r="G53" s="3">
        <v>23400</v>
      </c>
      <c r="H53" s="3">
        <v>7680</v>
      </c>
    </row>
    <row r="54" spans="1:8" x14ac:dyDescent="0.25">
      <c r="A54" s="20">
        <v>3</v>
      </c>
      <c r="B54" s="20" t="s">
        <v>15</v>
      </c>
      <c r="C54" s="20" t="s">
        <v>24</v>
      </c>
      <c r="D54" t="s">
        <v>953</v>
      </c>
      <c r="E54" s="2" t="s">
        <v>954</v>
      </c>
      <c r="F54" s="2" t="s">
        <v>892</v>
      </c>
      <c r="G54" s="3">
        <v>1600</v>
      </c>
      <c r="H54" s="3">
        <v>340</v>
      </c>
    </row>
    <row r="55" spans="1:8" x14ac:dyDescent="0.25">
      <c r="A55" s="20">
        <v>3</v>
      </c>
      <c r="B55" s="20" t="s">
        <v>15</v>
      </c>
      <c r="C55" s="20" t="s">
        <v>25</v>
      </c>
      <c r="D55" t="s">
        <v>955</v>
      </c>
      <c r="E55" s="2" t="s">
        <v>944</v>
      </c>
      <c r="F55" s="2" t="s">
        <v>892</v>
      </c>
      <c r="G55" s="3">
        <v>6</v>
      </c>
      <c r="H55" s="3">
        <v>3</v>
      </c>
    </row>
    <row r="56" spans="1:8" x14ac:dyDescent="0.25">
      <c r="A56" s="20">
        <v>3</v>
      </c>
      <c r="B56" s="20" t="s">
        <v>18</v>
      </c>
      <c r="C56" s="20" t="s">
        <v>17</v>
      </c>
      <c r="D56" t="s">
        <v>956</v>
      </c>
      <c r="E56" s="2" t="s">
        <v>944</v>
      </c>
      <c r="F56" s="2" t="s">
        <v>892</v>
      </c>
      <c r="G56" s="3">
        <v>1278</v>
      </c>
      <c r="H56" s="3">
        <v>311</v>
      </c>
    </row>
    <row r="57" spans="1:8" x14ac:dyDescent="0.25">
      <c r="A57" s="20">
        <v>3</v>
      </c>
      <c r="B57" s="20" t="s">
        <v>18</v>
      </c>
      <c r="C57" s="20" t="s">
        <v>26</v>
      </c>
      <c r="D57" t="s">
        <v>957</v>
      </c>
      <c r="E57" s="2" t="s">
        <v>944</v>
      </c>
      <c r="F57" s="2" t="s">
        <v>892</v>
      </c>
      <c r="G57" s="3">
        <v>65</v>
      </c>
      <c r="H57" s="3">
        <v>15</v>
      </c>
    </row>
    <row r="58" spans="1:8" x14ac:dyDescent="0.25">
      <c r="A58" s="20">
        <v>3</v>
      </c>
      <c r="B58" s="20" t="s">
        <v>18</v>
      </c>
      <c r="C58" s="20" t="s">
        <v>27</v>
      </c>
      <c r="D58" t="s">
        <v>958</v>
      </c>
      <c r="E58" s="2" t="s">
        <v>944</v>
      </c>
      <c r="F58" s="2" t="s">
        <v>892</v>
      </c>
      <c r="G58" s="3">
        <v>232</v>
      </c>
      <c r="H58" s="3">
        <v>58</v>
      </c>
    </row>
    <row r="59" spans="1:8" x14ac:dyDescent="0.25">
      <c r="A59" s="20">
        <v>4</v>
      </c>
      <c r="B59" s="20" t="s">
        <v>28</v>
      </c>
      <c r="C59" s="20" t="s">
        <v>29</v>
      </c>
      <c r="D59" t="s">
        <v>959</v>
      </c>
      <c r="E59" s="2" t="s">
        <v>960</v>
      </c>
      <c r="F59" s="2" t="s">
        <v>892</v>
      </c>
      <c r="G59" s="3">
        <v>164</v>
      </c>
      <c r="H59" s="3">
        <v>41</v>
      </c>
    </row>
    <row r="60" spans="1:8" x14ac:dyDescent="0.25">
      <c r="A60" s="20">
        <v>4</v>
      </c>
      <c r="B60" s="20" t="s">
        <v>28</v>
      </c>
      <c r="C60" s="20" t="s">
        <v>30</v>
      </c>
      <c r="D60" t="s">
        <v>961</v>
      </c>
      <c r="E60" s="2" t="s">
        <v>875</v>
      </c>
      <c r="F60" s="2" t="s">
        <v>892</v>
      </c>
      <c r="G60" s="3">
        <v>217</v>
      </c>
      <c r="H60" s="3">
        <v>217</v>
      </c>
    </row>
    <row r="61" spans="1:8" x14ac:dyDescent="0.25">
      <c r="A61" s="20">
        <v>4</v>
      </c>
      <c r="B61" s="20" t="s">
        <v>28</v>
      </c>
      <c r="C61" s="20" t="s">
        <v>31</v>
      </c>
      <c r="D61" t="s">
        <v>962</v>
      </c>
      <c r="E61" s="2" t="s">
        <v>963</v>
      </c>
      <c r="F61" s="2" t="s">
        <v>892</v>
      </c>
      <c r="G61" s="3">
        <v>8</v>
      </c>
      <c r="H61" s="3">
        <v>2</v>
      </c>
    </row>
    <row r="62" spans="1:8" x14ac:dyDescent="0.25">
      <c r="A62" s="20">
        <v>4</v>
      </c>
      <c r="B62" s="20" t="s">
        <v>28</v>
      </c>
      <c r="C62" s="20" t="s">
        <v>32</v>
      </c>
      <c r="D62" t="s">
        <v>964</v>
      </c>
      <c r="E62" s="2" t="s">
        <v>965</v>
      </c>
      <c r="F62" s="2" t="s">
        <v>892</v>
      </c>
      <c r="G62" s="3">
        <v>2784</v>
      </c>
      <c r="H62" s="3">
        <v>672</v>
      </c>
    </row>
    <row r="63" spans="1:8" x14ac:dyDescent="0.25">
      <c r="A63" s="20">
        <v>1</v>
      </c>
      <c r="B63" s="20" t="s">
        <v>4</v>
      </c>
      <c r="C63" s="20" t="s">
        <v>35</v>
      </c>
      <c r="D63" t="s">
        <v>874</v>
      </c>
      <c r="E63" s="2" t="s">
        <v>875</v>
      </c>
      <c r="F63" s="2" t="s">
        <v>751</v>
      </c>
      <c r="G63" s="2">
        <v>217</v>
      </c>
      <c r="H63" s="3">
        <v>57</v>
      </c>
    </row>
    <row r="64" spans="1:8" x14ac:dyDescent="0.25">
      <c r="A64" s="20">
        <v>1</v>
      </c>
      <c r="B64" s="20" t="s">
        <v>4</v>
      </c>
      <c r="C64" s="20" t="s">
        <v>36</v>
      </c>
      <c r="D64" t="s">
        <v>876</v>
      </c>
      <c r="E64" s="2" t="s">
        <v>875</v>
      </c>
      <c r="F64" s="2" t="s">
        <v>751</v>
      </c>
      <c r="G64" s="2">
        <v>217</v>
      </c>
      <c r="H64" s="3">
        <v>59</v>
      </c>
    </row>
    <row r="65" spans="1:8" x14ac:dyDescent="0.25">
      <c r="A65" s="20">
        <v>1</v>
      </c>
      <c r="B65" s="20" t="s">
        <v>4</v>
      </c>
      <c r="C65" s="20" t="s">
        <v>37</v>
      </c>
      <c r="D65" t="s">
        <v>877</v>
      </c>
      <c r="E65" s="2" t="s">
        <v>875</v>
      </c>
      <c r="F65" s="2" t="s">
        <v>751</v>
      </c>
      <c r="G65" s="2">
        <v>217</v>
      </c>
      <c r="H65" s="3">
        <v>60</v>
      </c>
    </row>
    <row r="66" spans="1:8" x14ac:dyDescent="0.25">
      <c r="A66" s="20">
        <v>1</v>
      </c>
      <c r="B66" s="20" t="s">
        <v>4</v>
      </c>
      <c r="C66" s="20" t="s">
        <v>38</v>
      </c>
      <c r="D66" t="s">
        <v>878</v>
      </c>
      <c r="E66" s="2" t="s">
        <v>879</v>
      </c>
      <c r="F66" s="2" t="s">
        <v>751</v>
      </c>
      <c r="G66" s="2">
        <v>47</v>
      </c>
      <c r="H66" s="3">
        <v>47</v>
      </c>
    </row>
    <row r="67" spans="1:8" x14ac:dyDescent="0.25">
      <c r="A67" s="20">
        <v>1</v>
      </c>
      <c r="B67" s="20" t="s">
        <v>4</v>
      </c>
      <c r="C67" s="20" t="s">
        <v>39</v>
      </c>
      <c r="D67" t="s">
        <v>880</v>
      </c>
      <c r="E67" s="2" t="s">
        <v>875</v>
      </c>
      <c r="F67" s="2" t="s">
        <v>751</v>
      </c>
      <c r="G67" s="2">
        <v>217</v>
      </c>
      <c r="H67" s="3">
        <v>53</v>
      </c>
    </row>
    <row r="68" spans="1:8" x14ac:dyDescent="0.25">
      <c r="A68" s="20">
        <v>1</v>
      </c>
      <c r="B68" s="20" t="s">
        <v>4</v>
      </c>
      <c r="C68" s="20" t="s">
        <v>40</v>
      </c>
      <c r="D68" t="s">
        <v>881</v>
      </c>
      <c r="E68" s="2" t="s">
        <v>875</v>
      </c>
      <c r="F68" s="2" t="s">
        <v>751</v>
      </c>
      <c r="G68" s="2">
        <v>217</v>
      </c>
      <c r="H68" s="3">
        <v>86</v>
      </c>
    </row>
    <row r="69" spans="1:8" x14ac:dyDescent="0.25">
      <c r="A69" s="20">
        <v>1</v>
      </c>
      <c r="B69" s="20" t="s">
        <v>4</v>
      </c>
      <c r="C69" s="20" t="s">
        <v>41</v>
      </c>
      <c r="D69" t="s">
        <v>882</v>
      </c>
      <c r="E69" s="2" t="s">
        <v>875</v>
      </c>
      <c r="F69" s="2" t="s">
        <v>751</v>
      </c>
      <c r="G69" s="2">
        <v>217</v>
      </c>
      <c r="H69" s="3">
        <v>58</v>
      </c>
    </row>
    <row r="70" spans="1:8" x14ac:dyDescent="0.25">
      <c r="A70" s="20">
        <v>1</v>
      </c>
      <c r="B70" s="20" t="s">
        <v>4</v>
      </c>
      <c r="C70" s="20" t="s">
        <v>42</v>
      </c>
      <c r="D70" t="s">
        <v>883</v>
      </c>
      <c r="E70" s="2" t="s">
        <v>875</v>
      </c>
      <c r="F70" s="2" t="s">
        <v>751</v>
      </c>
      <c r="G70" s="2">
        <v>217</v>
      </c>
      <c r="H70" s="3">
        <v>57</v>
      </c>
    </row>
    <row r="71" spans="1:8" x14ac:dyDescent="0.25">
      <c r="A71" s="20">
        <v>1</v>
      </c>
      <c r="B71" s="20" t="s">
        <v>4</v>
      </c>
      <c r="C71" s="20" t="s">
        <v>43</v>
      </c>
      <c r="D71" t="s">
        <v>884</v>
      </c>
      <c r="E71" s="2" t="s">
        <v>875</v>
      </c>
      <c r="F71" s="2" t="s">
        <v>751</v>
      </c>
      <c r="G71" s="2">
        <v>217</v>
      </c>
      <c r="H71" s="3">
        <v>55</v>
      </c>
    </row>
    <row r="72" spans="1:8" x14ac:dyDescent="0.25">
      <c r="A72" s="20">
        <v>1</v>
      </c>
      <c r="B72" s="20" t="s">
        <v>4</v>
      </c>
      <c r="C72" s="20" t="s">
        <v>44</v>
      </c>
      <c r="D72" t="s">
        <v>885</v>
      </c>
      <c r="E72" s="2" t="s">
        <v>875</v>
      </c>
      <c r="F72" s="2" t="s">
        <v>751</v>
      </c>
      <c r="G72" s="2">
        <v>217</v>
      </c>
      <c r="H72" s="3">
        <v>50</v>
      </c>
    </row>
    <row r="73" spans="1:8" x14ac:dyDescent="0.25">
      <c r="A73" s="20">
        <v>1</v>
      </c>
      <c r="B73" s="20" t="s">
        <v>4</v>
      </c>
      <c r="C73" s="20" t="s">
        <v>45</v>
      </c>
      <c r="D73" t="s">
        <v>886</v>
      </c>
      <c r="E73" s="2" t="s">
        <v>887</v>
      </c>
      <c r="F73" s="2" t="s">
        <v>751</v>
      </c>
      <c r="G73" s="2">
        <v>402</v>
      </c>
      <c r="H73" s="3">
        <v>497</v>
      </c>
    </row>
    <row r="74" spans="1:8" x14ac:dyDescent="0.25">
      <c r="A74" s="20">
        <v>1</v>
      </c>
      <c r="B74" s="20" t="s">
        <v>4</v>
      </c>
      <c r="C74" s="20" t="s">
        <v>46</v>
      </c>
      <c r="D74" t="s">
        <v>888</v>
      </c>
      <c r="E74" s="2" t="s">
        <v>875</v>
      </c>
      <c r="F74" s="2" t="s">
        <v>751</v>
      </c>
      <c r="G74" s="2">
        <v>217</v>
      </c>
      <c r="H74" s="3">
        <v>57</v>
      </c>
    </row>
    <row r="75" spans="1:8" x14ac:dyDescent="0.25">
      <c r="A75" s="20">
        <v>1</v>
      </c>
      <c r="B75" s="20" t="s">
        <v>4</v>
      </c>
      <c r="C75" s="20" t="s">
        <v>47</v>
      </c>
      <c r="D75" t="s">
        <v>889</v>
      </c>
      <c r="E75" s="2" t="s">
        <v>875</v>
      </c>
      <c r="F75" s="2" t="s">
        <v>751</v>
      </c>
      <c r="G75" s="2">
        <v>217</v>
      </c>
      <c r="H75" s="3">
        <v>217</v>
      </c>
    </row>
    <row r="76" spans="1:8" x14ac:dyDescent="0.25">
      <c r="A76" s="20">
        <v>1</v>
      </c>
      <c r="B76" s="20" t="s">
        <v>5</v>
      </c>
      <c r="C76" s="20" t="s">
        <v>48</v>
      </c>
      <c r="D76" t="s">
        <v>890</v>
      </c>
      <c r="E76" s="2" t="s">
        <v>891</v>
      </c>
      <c r="F76" s="2" t="s">
        <v>892</v>
      </c>
      <c r="G76" s="3">
        <v>2889</v>
      </c>
      <c r="H76" s="4">
        <v>685</v>
      </c>
    </row>
    <row r="77" spans="1:8" x14ac:dyDescent="0.25">
      <c r="A77" s="20">
        <v>1</v>
      </c>
      <c r="B77" s="20" t="s">
        <v>5</v>
      </c>
      <c r="C77" s="20" t="s">
        <v>79</v>
      </c>
      <c r="D77" t="s">
        <v>893</v>
      </c>
      <c r="E77" s="2" t="s">
        <v>891</v>
      </c>
      <c r="F77" s="2" t="s">
        <v>892</v>
      </c>
      <c r="G77" s="3">
        <v>1350</v>
      </c>
      <c r="H77" s="4">
        <v>300</v>
      </c>
    </row>
    <row r="78" spans="1:8" x14ac:dyDescent="0.25">
      <c r="A78" s="20">
        <v>1</v>
      </c>
      <c r="B78" s="20" t="s">
        <v>5</v>
      </c>
      <c r="C78" s="20" t="s">
        <v>49</v>
      </c>
      <c r="D78" t="s">
        <v>894</v>
      </c>
      <c r="E78" s="2" t="s">
        <v>891</v>
      </c>
      <c r="F78" s="2" t="s">
        <v>892</v>
      </c>
      <c r="G78" s="3">
        <v>100000</v>
      </c>
      <c r="H78" s="4">
        <v>24000</v>
      </c>
    </row>
    <row r="79" spans="1:8" x14ac:dyDescent="0.25">
      <c r="A79" s="20">
        <v>1</v>
      </c>
      <c r="B79" s="20" t="s">
        <v>5</v>
      </c>
      <c r="C79" s="20" t="s">
        <v>50</v>
      </c>
      <c r="D79" t="s">
        <v>895</v>
      </c>
      <c r="E79" s="2" t="s">
        <v>891</v>
      </c>
      <c r="F79" s="2" t="s">
        <v>892</v>
      </c>
      <c r="G79" s="3">
        <v>262</v>
      </c>
      <c r="H79" s="4">
        <v>64</v>
      </c>
    </row>
    <row r="80" spans="1:8" x14ac:dyDescent="0.25">
      <c r="A80" s="20">
        <v>1</v>
      </c>
      <c r="B80" s="20" t="s">
        <v>5</v>
      </c>
      <c r="C80" s="20" t="s">
        <v>51</v>
      </c>
      <c r="D80" t="s">
        <v>896</v>
      </c>
      <c r="E80" s="2" t="s">
        <v>897</v>
      </c>
      <c r="F80" s="2" t="s">
        <v>892</v>
      </c>
      <c r="G80" s="3">
        <v>753600</v>
      </c>
      <c r="H80" s="4">
        <v>188400</v>
      </c>
    </row>
    <row r="81" spans="1:8" x14ac:dyDescent="0.25">
      <c r="A81" s="20">
        <v>1</v>
      </c>
      <c r="B81" s="20" t="s">
        <v>5</v>
      </c>
      <c r="C81" s="20" t="s">
        <v>52</v>
      </c>
      <c r="D81" t="s">
        <v>898</v>
      </c>
      <c r="E81" s="2" t="s">
        <v>891</v>
      </c>
      <c r="F81" s="2" t="s">
        <v>751</v>
      </c>
      <c r="G81" s="3">
        <v>60595</v>
      </c>
      <c r="H81" s="4">
        <v>14056</v>
      </c>
    </row>
    <row r="82" spans="1:8" x14ac:dyDescent="0.25">
      <c r="A82" s="20">
        <v>1</v>
      </c>
      <c r="B82" s="20" t="s">
        <v>5</v>
      </c>
      <c r="C82" s="20" t="s">
        <v>53</v>
      </c>
      <c r="D82" t="s">
        <v>899</v>
      </c>
      <c r="E82" s="2" t="s">
        <v>900</v>
      </c>
      <c r="F82" s="2" t="s">
        <v>751</v>
      </c>
      <c r="G82" s="3">
        <v>217</v>
      </c>
      <c r="H82" s="4">
        <v>60</v>
      </c>
    </row>
    <row r="83" spans="1:8" x14ac:dyDescent="0.25">
      <c r="A83" s="20">
        <v>1</v>
      </c>
      <c r="B83" s="20" t="s">
        <v>6</v>
      </c>
      <c r="C83" s="20" t="s">
        <v>54</v>
      </c>
      <c r="D83" t="s">
        <v>901</v>
      </c>
      <c r="E83" s="2" t="s">
        <v>902</v>
      </c>
      <c r="F83" s="2" t="s">
        <v>892</v>
      </c>
      <c r="G83" s="3">
        <v>1370721</v>
      </c>
      <c r="H83" s="3">
        <v>323533</v>
      </c>
    </row>
    <row r="84" spans="1:8" x14ac:dyDescent="0.25">
      <c r="A84" s="20">
        <v>1</v>
      </c>
      <c r="B84" s="20" t="s">
        <v>6</v>
      </c>
      <c r="C84" s="20" t="s">
        <v>55</v>
      </c>
      <c r="D84" t="s">
        <v>903</v>
      </c>
      <c r="E84" s="2" t="s">
        <v>902</v>
      </c>
      <c r="F84" s="2" t="s">
        <v>892</v>
      </c>
      <c r="G84" s="3">
        <v>45568</v>
      </c>
      <c r="H84" s="3">
        <v>11248</v>
      </c>
    </row>
    <row r="85" spans="1:8" x14ac:dyDescent="0.25">
      <c r="A85" s="20">
        <v>1</v>
      </c>
      <c r="B85" s="20" t="s">
        <v>6</v>
      </c>
      <c r="C85" s="20" t="s">
        <v>56</v>
      </c>
      <c r="D85" t="s">
        <v>904</v>
      </c>
      <c r="E85" s="2" t="s">
        <v>905</v>
      </c>
      <c r="F85" s="2" t="s">
        <v>892</v>
      </c>
      <c r="G85" s="3">
        <v>7</v>
      </c>
      <c r="H85" s="3">
        <v>2</v>
      </c>
    </row>
    <row r="86" spans="1:8" x14ac:dyDescent="0.25">
      <c r="A86" s="20">
        <v>1</v>
      </c>
      <c r="B86" s="20" t="s">
        <v>6</v>
      </c>
      <c r="C86" s="20" t="s">
        <v>57</v>
      </c>
      <c r="D86" t="s">
        <v>906</v>
      </c>
      <c r="E86" s="2" t="s">
        <v>902</v>
      </c>
      <c r="F86" s="2" t="s">
        <v>892</v>
      </c>
      <c r="G86" s="3">
        <v>439120</v>
      </c>
      <c r="H86" s="3">
        <v>104079</v>
      </c>
    </row>
    <row r="87" spans="1:8" x14ac:dyDescent="0.25">
      <c r="A87" s="20">
        <v>2</v>
      </c>
      <c r="B87" s="20" t="s">
        <v>7</v>
      </c>
      <c r="C87" s="20" t="s">
        <v>58</v>
      </c>
      <c r="D87" t="s">
        <v>907</v>
      </c>
      <c r="E87" s="2" t="s">
        <v>908</v>
      </c>
      <c r="F87" s="2" t="s">
        <v>892</v>
      </c>
      <c r="G87" s="3">
        <v>109996043</v>
      </c>
      <c r="H87" s="3">
        <v>27360845</v>
      </c>
    </row>
    <row r="88" spans="1:8" x14ac:dyDescent="0.25">
      <c r="A88" s="20">
        <v>2</v>
      </c>
      <c r="B88" s="20" t="s">
        <v>7</v>
      </c>
      <c r="C88" s="20" t="s">
        <v>59</v>
      </c>
      <c r="D88" t="s">
        <v>909</v>
      </c>
      <c r="E88" s="2" t="s">
        <v>908</v>
      </c>
      <c r="F88" s="2" t="s">
        <v>892</v>
      </c>
      <c r="G88" s="3">
        <v>2244817</v>
      </c>
      <c r="H88" s="3">
        <v>179470</v>
      </c>
    </row>
    <row r="89" spans="1:8" x14ac:dyDescent="0.25">
      <c r="A89" s="20">
        <v>2</v>
      </c>
      <c r="B89" s="20" t="s">
        <v>7</v>
      </c>
      <c r="C89" s="20" t="s">
        <v>60</v>
      </c>
      <c r="D89" t="s">
        <v>910</v>
      </c>
      <c r="E89" s="2" t="s">
        <v>908</v>
      </c>
      <c r="F89" s="2" t="s">
        <v>892</v>
      </c>
      <c r="G89" s="3">
        <v>1437206</v>
      </c>
      <c r="H89" s="3">
        <v>524120</v>
      </c>
    </row>
    <row r="90" spans="1:8" x14ac:dyDescent="0.25">
      <c r="A90" s="20">
        <v>2</v>
      </c>
      <c r="B90" s="20" t="s">
        <v>7</v>
      </c>
      <c r="C90" s="20" t="s">
        <v>61</v>
      </c>
      <c r="D90" t="s">
        <v>911</v>
      </c>
      <c r="E90" s="2" t="s">
        <v>912</v>
      </c>
      <c r="F90" s="2" t="s">
        <v>913</v>
      </c>
      <c r="G90" s="2" t="s">
        <v>966</v>
      </c>
      <c r="H90" s="2" t="s">
        <v>967</v>
      </c>
    </row>
    <row r="91" spans="1:8" x14ac:dyDescent="0.25">
      <c r="A91" s="20">
        <v>2</v>
      </c>
      <c r="B91" s="20" t="s">
        <v>7</v>
      </c>
      <c r="C91" s="20" t="s">
        <v>62</v>
      </c>
      <c r="D91" t="s">
        <v>914</v>
      </c>
      <c r="E91" s="2" t="s">
        <v>915</v>
      </c>
      <c r="F91" s="2" t="s">
        <v>913</v>
      </c>
      <c r="G91" s="2">
        <v>1</v>
      </c>
      <c r="H91" s="2" t="s">
        <v>968</v>
      </c>
    </row>
    <row r="92" spans="1:8" x14ac:dyDescent="0.25">
      <c r="A92" s="20">
        <v>2</v>
      </c>
      <c r="B92" s="20" t="s">
        <v>7</v>
      </c>
      <c r="C92" s="20" t="s">
        <v>63</v>
      </c>
      <c r="D92" t="s">
        <v>916</v>
      </c>
      <c r="E92" s="2" t="s">
        <v>917</v>
      </c>
      <c r="F92" s="2" t="s">
        <v>913</v>
      </c>
      <c r="G92" s="2">
        <v>1</v>
      </c>
      <c r="H92" s="2" t="s">
        <v>969</v>
      </c>
    </row>
    <row r="93" spans="1:8" x14ac:dyDescent="0.25">
      <c r="A93" s="20">
        <v>2</v>
      </c>
      <c r="B93" s="20" t="s">
        <v>7</v>
      </c>
      <c r="C93" s="20" t="s">
        <v>64</v>
      </c>
      <c r="D93" t="s">
        <v>918</v>
      </c>
      <c r="E93" s="2" t="s">
        <v>915</v>
      </c>
      <c r="F93" s="2" t="s">
        <v>913</v>
      </c>
      <c r="G93" s="2">
        <v>1</v>
      </c>
      <c r="H93" s="2" t="s">
        <v>970</v>
      </c>
    </row>
    <row r="94" spans="1:8" x14ac:dyDescent="0.25">
      <c r="A94" s="20">
        <v>2</v>
      </c>
      <c r="B94" s="20" t="s">
        <v>7</v>
      </c>
      <c r="C94" s="20" t="s">
        <v>65</v>
      </c>
      <c r="D94" t="s">
        <v>919</v>
      </c>
      <c r="E94" s="2" t="s">
        <v>908</v>
      </c>
      <c r="F94" s="2" t="s">
        <v>892</v>
      </c>
      <c r="G94" s="3">
        <v>386800</v>
      </c>
      <c r="H94" s="3">
        <v>96700</v>
      </c>
    </row>
    <row r="95" spans="1:8" x14ac:dyDescent="0.25">
      <c r="A95" s="20">
        <v>2</v>
      </c>
      <c r="B95" s="20" t="s">
        <v>7</v>
      </c>
      <c r="C95" s="20" t="s">
        <v>66</v>
      </c>
      <c r="D95" t="s">
        <v>920</v>
      </c>
      <c r="E95" s="2" t="s">
        <v>908</v>
      </c>
      <c r="F95" s="2" t="s">
        <v>892</v>
      </c>
      <c r="G95" s="3">
        <v>5491073</v>
      </c>
      <c r="H95" s="3">
        <v>1337694</v>
      </c>
    </row>
    <row r="96" spans="1:8" x14ac:dyDescent="0.25">
      <c r="A96" s="20">
        <v>2</v>
      </c>
      <c r="B96" s="20" t="s">
        <v>7</v>
      </c>
      <c r="C96" s="20" t="s">
        <v>67</v>
      </c>
      <c r="D96" t="s">
        <v>921</v>
      </c>
      <c r="E96" s="2" t="s">
        <v>875</v>
      </c>
      <c r="F96" s="2" t="s">
        <v>892</v>
      </c>
      <c r="G96" s="3">
        <v>64</v>
      </c>
      <c r="H96" s="3">
        <v>56</v>
      </c>
    </row>
    <row r="97" spans="1:8" x14ac:dyDescent="0.25">
      <c r="A97" s="20">
        <v>2</v>
      </c>
      <c r="B97" s="20" t="s">
        <v>8</v>
      </c>
      <c r="C97" s="20" t="s">
        <v>68</v>
      </c>
      <c r="D97" t="s">
        <v>922</v>
      </c>
      <c r="E97" s="2" t="s">
        <v>923</v>
      </c>
      <c r="F97" s="2" t="s">
        <v>892</v>
      </c>
      <c r="G97" s="3">
        <v>858</v>
      </c>
      <c r="H97" s="3">
        <v>206</v>
      </c>
    </row>
    <row r="98" spans="1:8" x14ac:dyDescent="0.25">
      <c r="A98" s="20">
        <v>2</v>
      </c>
      <c r="B98" s="20" t="s">
        <v>8</v>
      </c>
      <c r="C98" s="20" t="s">
        <v>69</v>
      </c>
      <c r="D98" t="s">
        <v>924</v>
      </c>
      <c r="E98" s="2" t="s">
        <v>925</v>
      </c>
      <c r="F98" s="2" t="s">
        <v>892</v>
      </c>
      <c r="G98" s="3">
        <v>60</v>
      </c>
      <c r="H98" s="3">
        <v>15</v>
      </c>
    </row>
    <row r="99" spans="1:8" x14ac:dyDescent="0.25">
      <c r="A99" s="20">
        <v>2</v>
      </c>
      <c r="B99" s="20" t="s">
        <v>8</v>
      </c>
      <c r="C99" s="20" t="s">
        <v>70</v>
      </c>
      <c r="D99" t="s">
        <v>926</v>
      </c>
      <c r="E99" s="2" t="s">
        <v>927</v>
      </c>
      <c r="F99" s="2" t="s">
        <v>892</v>
      </c>
      <c r="G99" s="3">
        <v>133</v>
      </c>
      <c r="H99" s="3">
        <v>280</v>
      </c>
    </row>
    <row r="100" spans="1:8" x14ac:dyDescent="0.25">
      <c r="A100" s="20">
        <v>2</v>
      </c>
      <c r="B100" s="20" t="s">
        <v>9</v>
      </c>
      <c r="C100" s="20" t="s">
        <v>71</v>
      </c>
      <c r="D100" t="s">
        <v>928</v>
      </c>
      <c r="E100" s="2" t="s">
        <v>929</v>
      </c>
      <c r="F100" s="2" t="s">
        <v>892</v>
      </c>
      <c r="G100" s="3">
        <v>1905845</v>
      </c>
      <c r="H100" s="3">
        <v>463862</v>
      </c>
    </row>
    <row r="101" spans="1:8" x14ac:dyDescent="0.25">
      <c r="A101" s="20">
        <v>2</v>
      </c>
      <c r="B101" s="20" t="s">
        <v>9</v>
      </c>
      <c r="C101" s="20" t="s">
        <v>72</v>
      </c>
      <c r="D101" t="s">
        <v>930</v>
      </c>
      <c r="E101" s="2" t="s">
        <v>931</v>
      </c>
      <c r="F101" s="2" t="s">
        <v>892</v>
      </c>
      <c r="G101" s="3">
        <v>117600</v>
      </c>
      <c r="H101" s="3">
        <v>28968</v>
      </c>
    </row>
    <row r="102" spans="1:8" x14ac:dyDescent="0.25">
      <c r="A102" s="20">
        <v>2</v>
      </c>
      <c r="B102" s="20" t="s">
        <v>9</v>
      </c>
      <c r="C102" s="20" t="s">
        <v>73</v>
      </c>
      <c r="D102" t="s">
        <v>932</v>
      </c>
      <c r="E102" s="2" t="s">
        <v>933</v>
      </c>
      <c r="F102" s="2" t="s">
        <v>892</v>
      </c>
      <c r="G102" s="3">
        <v>118104</v>
      </c>
      <c r="H102" s="3">
        <v>38670</v>
      </c>
    </row>
    <row r="103" spans="1:8" x14ac:dyDescent="0.25">
      <c r="A103" s="20">
        <v>2</v>
      </c>
      <c r="B103" s="20" t="s">
        <v>9</v>
      </c>
      <c r="C103" s="20" t="s">
        <v>74</v>
      </c>
      <c r="D103" t="s">
        <v>934</v>
      </c>
      <c r="E103" s="2" t="s">
        <v>935</v>
      </c>
      <c r="F103" s="2" t="s">
        <v>892</v>
      </c>
      <c r="G103" s="3">
        <v>6515325</v>
      </c>
      <c r="H103" s="3">
        <v>1586977</v>
      </c>
    </row>
    <row r="104" spans="1:8" x14ac:dyDescent="0.25">
      <c r="A104" s="20">
        <v>2</v>
      </c>
      <c r="B104" s="20" t="s">
        <v>10</v>
      </c>
      <c r="C104" s="20" t="s">
        <v>75</v>
      </c>
      <c r="D104" t="s">
        <v>936</v>
      </c>
      <c r="E104" s="2" t="s">
        <v>908</v>
      </c>
      <c r="F104" s="2" t="s">
        <v>892</v>
      </c>
      <c r="G104" s="3">
        <v>256151</v>
      </c>
      <c r="H104" s="3">
        <v>63715</v>
      </c>
    </row>
    <row r="105" spans="1:8" x14ac:dyDescent="0.25">
      <c r="A105" s="20">
        <v>2</v>
      </c>
      <c r="B105" s="20" t="s">
        <v>10</v>
      </c>
      <c r="C105" s="20" t="s">
        <v>76</v>
      </c>
      <c r="D105" t="s">
        <v>937</v>
      </c>
      <c r="E105" s="2" t="s">
        <v>908</v>
      </c>
      <c r="F105" s="2" t="s">
        <v>892</v>
      </c>
      <c r="G105" s="3">
        <v>265967</v>
      </c>
      <c r="H105" s="3">
        <v>66150</v>
      </c>
    </row>
    <row r="106" spans="1:8" x14ac:dyDescent="0.25">
      <c r="A106" s="20">
        <v>2</v>
      </c>
      <c r="B106" s="20" t="s">
        <v>11</v>
      </c>
      <c r="C106" s="20" t="s">
        <v>77</v>
      </c>
      <c r="D106" t="s">
        <v>938</v>
      </c>
      <c r="E106" s="2" t="s">
        <v>939</v>
      </c>
      <c r="F106" s="2" t="s">
        <v>892</v>
      </c>
      <c r="G106" s="3">
        <v>19</v>
      </c>
      <c r="H106" s="3">
        <v>6</v>
      </c>
    </row>
    <row r="107" spans="1:8" x14ac:dyDescent="0.25">
      <c r="A107" s="20">
        <v>2</v>
      </c>
      <c r="B107" s="20" t="s">
        <v>11</v>
      </c>
      <c r="C107" s="20" t="s">
        <v>78</v>
      </c>
      <c r="D107" t="s">
        <v>940</v>
      </c>
      <c r="E107" s="2" t="s">
        <v>939</v>
      </c>
      <c r="F107" s="2" t="s">
        <v>892</v>
      </c>
      <c r="G107" s="3">
        <v>19</v>
      </c>
      <c r="H107" s="3">
        <v>19</v>
      </c>
    </row>
    <row r="108" spans="1:8" x14ac:dyDescent="0.25">
      <c r="A108" s="20">
        <v>3</v>
      </c>
      <c r="B108" s="20" t="s">
        <v>13</v>
      </c>
      <c r="C108" s="20" t="s">
        <v>14</v>
      </c>
      <c r="D108" t="s">
        <v>941</v>
      </c>
      <c r="E108" s="2" t="s">
        <v>942</v>
      </c>
      <c r="F108" s="2" t="s">
        <v>892</v>
      </c>
      <c r="G108" s="3">
        <v>245</v>
      </c>
      <c r="H108" s="3">
        <v>22</v>
      </c>
    </row>
    <row r="109" spans="1:8" x14ac:dyDescent="0.25">
      <c r="A109" s="20">
        <v>3</v>
      </c>
      <c r="B109" s="20" t="s">
        <v>13</v>
      </c>
      <c r="C109" s="20" t="s">
        <v>19</v>
      </c>
      <c r="D109" t="s">
        <v>943</v>
      </c>
      <c r="E109" s="2" t="s">
        <v>944</v>
      </c>
      <c r="F109" s="2" t="s">
        <v>892</v>
      </c>
      <c r="G109" s="3">
        <v>35</v>
      </c>
      <c r="H109" s="3">
        <v>8</v>
      </c>
    </row>
    <row r="110" spans="1:8" x14ac:dyDescent="0.25">
      <c r="A110" s="20">
        <v>3</v>
      </c>
      <c r="B110" s="20" t="s">
        <v>13</v>
      </c>
      <c r="C110" s="20" t="s">
        <v>20</v>
      </c>
      <c r="D110" t="s">
        <v>945</v>
      </c>
      <c r="E110" s="2" t="s">
        <v>944</v>
      </c>
      <c r="F110" s="2" t="s">
        <v>892</v>
      </c>
      <c r="G110" s="3">
        <v>2720</v>
      </c>
      <c r="H110" s="3">
        <v>680</v>
      </c>
    </row>
    <row r="111" spans="1:8" x14ac:dyDescent="0.25">
      <c r="A111" s="20">
        <v>3</v>
      </c>
      <c r="B111" s="20" t="s">
        <v>13</v>
      </c>
      <c r="C111" s="20" t="s">
        <v>21</v>
      </c>
      <c r="D111" t="s">
        <v>946</v>
      </c>
      <c r="E111" s="2" t="s">
        <v>947</v>
      </c>
      <c r="F111" s="2" t="s">
        <v>892</v>
      </c>
      <c r="G111" s="3">
        <v>763</v>
      </c>
      <c r="H111" s="3">
        <v>186</v>
      </c>
    </row>
    <row r="112" spans="1:8" x14ac:dyDescent="0.25">
      <c r="A112" s="20">
        <v>3</v>
      </c>
      <c r="B112" s="20" t="s">
        <v>13</v>
      </c>
      <c r="C112" s="20" t="s">
        <v>22</v>
      </c>
      <c r="D112" t="s">
        <v>948</v>
      </c>
      <c r="E112" s="2" t="s">
        <v>944</v>
      </c>
      <c r="F112" s="2" t="s">
        <v>892</v>
      </c>
      <c r="G112" s="3">
        <v>65</v>
      </c>
      <c r="H112" s="3">
        <v>15</v>
      </c>
    </row>
    <row r="113" spans="1:8" x14ac:dyDescent="0.25">
      <c r="A113" s="20">
        <v>3</v>
      </c>
      <c r="B113" s="20" t="s">
        <v>13</v>
      </c>
      <c r="C113" s="20" t="s">
        <v>23</v>
      </c>
      <c r="D113" t="s">
        <v>949</v>
      </c>
      <c r="E113" s="2" t="s">
        <v>950</v>
      </c>
      <c r="F113" s="2" t="s">
        <v>892</v>
      </c>
      <c r="G113" s="3">
        <v>28</v>
      </c>
      <c r="H113" s="3">
        <v>6</v>
      </c>
    </row>
    <row r="114" spans="1:8" x14ac:dyDescent="0.25">
      <c r="A114" s="20">
        <v>3</v>
      </c>
      <c r="B114" s="20" t="s">
        <v>15</v>
      </c>
      <c r="C114" s="20" t="s">
        <v>16</v>
      </c>
      <c r="D114" t="s">
        <v>951</v>
      </c>
      <c r="E114" s="2" t="s">
        <v>952</v>
      </c>
      <c r="F114" s="2" t="s">
        <v>892</v>
      </c>
      <c r="G114" s="3">
        <v>23400</v>
      </c>
      <c r="H114" s="3">
        <v>7680</v>
      </c>
    </row>
    <row r="115" spans="1:8" x14ac:dyDescent="0.25">
      <c r="A115" s="20">
        <v>3</v>
      </c>
      <c r="B115" s="20" t="s">
        <v>15</v>
      </c>
      <c r="C115" s="20" t="s">
        <v>24</v>
      </c>
      <c r="D115" t="s">
        <v>953</v>
      </c>
      <c r="E115" s="2" t="s">
        <v>954</v>
      </c>
      <c r="F115" s="2" t="s">
        <v>892</v>
      </c>
      <c r="G115" s="3">
        <v>1600</v>
      </c>
      <c r="H115" s="3">
        <v>340</v>
      </c>
    </row>
    <row r="116" spans="1:8" x14ac:dyDescent="0.25">
      <c r="A116" s="20">
        <v>3</v>
      </c>
      <c r="B116" s="20" t="s">
        <v>15</v>
      </c>
      <c r="C116" s="20" t="s">
        <v>25</v>
      </c>
      <c r="D116" t="s">
        <v>955</v>
      </c>
      <c r="E116" s="2" t="s">
        <v>944</v>
      </c>
      <c r="F116" s="2" t="s">
        <v>892</v>
      </c>
      <c r="G116" s="3">
        <v>6</v>
      </c>
      <c r="H116" s="3">
        <v>3</v>
      </c>
    </row>
    <row r="117" spans="1:8" x14ac:dyDescent="0.25">
      <c r="A117" s="20">
        <v>3</v>
      </c>
      <c r="B117" s="20" t="s">
        <v>18</v>
      </c>
      <c r="C117" s="20" t="s">
        <v>17</v>
      </c>
      <c r="D117" t="s">
        <v>956</v>
      </c>
      <c r="E117" s="2" t="s">
        <v>944</v>
      </c>
      <c r="F117" s="2" t="s">
        <v>892</v>
      </c>
      <c r="G117" s="3">
        <v>1278</v>
      </c>
      <c r="H117" s="3">
        <v>311</v>
      </c>
    </row>
    <row r="118" spans="1:8" x14ac:dyDescent="0.25">
      <c r="A118" s="20">
        <v>3</v>
      </c>
      <c r="B118" s="20" t="s">
        <v>18</v>
      </c>
      <c r="C118" s="20" t="s">
        <v>26</v>
      </c>
      <c r="D118" t="s">
        <v>957</v>
      </c>
      <c r="E118" s="2" t="s">
        <v>944</v>
      </c>
      <c r="F118" s="2" t="s">
        <v>892</v>
      </c>
      <c r="G118" s="3">
        <v>65</v>
      </c>
      <c r="H118" s="3">
        <v>15</v>
      </c>
    </row>
    <row r="119" spans="1:8" x14ac:dyDescent="0.25">
      <c r="A119" s="20">
        <v>3</v>
      </c>
      <c r="B119" s="20" t="s">
        <v>18</v>
      </c>
      <c r="C119" s="20" t="s">
        <v>27</v>
      </c>
      <c r="D119" t="s">
        <v>958</v>
      </c>
      <c r="E119" s="2" t="s">
        <v>944</v>
      </c>
      <c r="F119" s="2" t="s">
        <v>892</v>
      </c>
      <c r="G119" s="3">
        <v>232</v>
      </c>
      <c r="H119" s="3">
        <v>58</v>
      </c>
    </row>
    <row r="120" spans="1:8" x14ac:dyDescent="0.25">
      <c r="A120" s="20">
        <v>4</v>
      </c>
      <c r="B120" s="20" t="s">
        <v>28</v>
      </c>
      <c r="C120" s="20" t="s">
        <v>29</v>
      </c>
      <c r="D120" t="s">
        <v>959</v>
      </c>
      <c r="E120" s="2" t="s">
        <v>960</v>
      </c>
      <c r="F120" s="2" t="s">
        <v>892</v>
      </c>
      <c r="G120" s="3">
        <v>164</v>
      </c>
      <c r="H120" s="3">
        <v>41</v>
      </c>
    </row>
    <row r="121" spans="1:8" x14ac:dyDescent="0.25">
      <c r="A121" s="20">
        <v>4</v>
      </c>
      <c r="B121" s="20" t="s">
        <v>28</v>
      </c>
      <c r="C121" s="20" t="s">
        <v>30</v>
      </c>
      <c r="D121" t="s">
        <v>961</v>
      </c>
      <c r="E121" s="2" t="s">
        <v>875</v>
      </c>
      <c r="F121" s="2" t="s">
        <v>892</v>
      </c>
      <c r="G121" s="3">
        <v>217</v>
      </c>
      <c r="H121" s="3">
        <v>217</v>
      </c>
    </row>
    <row r="122" spans="1:8" x14ac:dyDescent="0.25">
      <c r="A122" s="20">
        <v>4</v>
      </c>
      <c r="B122" s="20" t="s">
        <v>28</v>
      </c>
      <c r="C122" s="20" t="s">
        <v>31</v>
      </c>
      <c r="D122" t="s">
        <v>962</v>
      </c>
      <c r="E122" s="2" t="s">
        <v>963</v>
      </c>
      <c r="F122" s="2" t="s">
        <v>892</v>
      </c>
      <c r="G122" s="3">
        <v>8</v>
      </c>
      <c r="H122" s="3">
        <v>2</v>
      </c>
    </row>
    <row r="123" spans="1:8" x14ac:dyDescent="0.25">
      <c r="A123" s="20">
        <v>4</v>
      </c>
      <c r="B123" s="20" t="s">
        <v>28</v>
      </c>
      <c r="C123" s="20" t="s">
        <v>32</v>
      </c>
      <c r="D123" t="s">
        <v>964</v>
      </c>
      <c r="E123" s="2" t="s">
        <v>965</v>
      </c>
      <c r="F123" s="2" t="s">
        <v>892</v>
      </c>
      <c r="G123" s="3">
        <v>2784</v>
      </c>
      <c r="H123" s="3">
        <v>672</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CCB2D-C84A-4688-B76F-DF6F402C24BB}">
  <dimension ref="A1:K633"/>
  <sheetViews>
    <sheetView tabSelected="1" topLeftCell="E1" zoomScaleNormal="100" workbookViewId="0">
      <pane ySplit="1" topLeftCell="A5" activePane="bottomLeft" state="frozen"/>
      <selection pane="bottomLeft" activeCell="L1" sqref="L1:M1048576"/>
    </sheetView>
  </sheetViews>
  <sheetFormatPr defaultColWidth="16.28515625" defaultRowHeight="15" x14ac:dyDescent="0.25"/>
  <cols>
    <col min="1" max="1" width="18.140625" style="2" hidden="1" customWidth="1"/>
    <col min="2" max="2" width="14.7109375" hidden="1" customWidth="1"/>
    <col min="3" max="3" width="10.140625" style="2" hidden="1" customWidth="1"/>
    <col min="4" max="4" width="10" hidden="1" customWidth="1"/>
    <col min="5" max="5" width="11.5703125" style="2" customWidth="1"/>
    <col min="6" max="6" width="49.42578125" hidden="1" customWidth="1"/>
    <col min="7" max="7" width="29" style="2" customWidth="1"/>
    <col min="8" max="8" width="71" customWidth="1"/>
    <col min="9" max="9" width="52.7109375" style="6" customWidth="1"/>
    <col min="11" max="11" width="17.5703125" style="6" customWidth="1"/>
  </cols>
  <sheetData>
    <row r="1" spans="1:11" x14ac:dyDescent="0.25">
      <c r="A1" s="1" t="s">
        <v>33</v>
      </c>
      <c r="B1" s="1" t="s">
        <v>0</v>
      </c>
      <c r="C1" s="1" t="s">
        <v>34</v>
      </c>
      <c r="D1" s="1" t="s">
        <v>1</v>
      </c>
      <c r="E1" s="1" t="s">
        <v>3</v>
      </c>
      <c r="F1" s="1" t="s">
        <v>80</v>
      </c>
      <c r="G1" s="1" t="s">
        <v>83</v>
      </c>
      <c r="H1" s="7" t="s">
        <v>84</v>
      </c>
      <c r="I1" s="5" t="s">
        <v>717</v>
      </c>
      <c r="J1" s="5" t="s">
        <v>12</v>
      </c>
      <c r="K1" s="5" t="s">
        <v>716</v>
      </c>
    </row>
    <row r="2" spans="1:11" x14ac:dyDescent="0.25">
      <c r="A2" s="2">
        <v>1</v>
      </c>
      <c r="B2" t="str">
        <f>IFERROR((_xlfn.XLOOKUP(A2,Diretriz!A:A,Diretriz!B:B)),"")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2" s="2" t="s">
        <v>4</v>
      </c>
      <c r="D2" t="str">
        <f>IFERROR((_xlfn.XLOOKUP(C2,Objetivo!C:C,Objetivo!D:D)), "")</f>
        <v>Fortalecer a Atenção Primária para apoiar o desenvolvimento de ações em saúde no estado.</v>
      </c>
      <c r="E2" s="20" t="s">
        <v>35</v>
      </c>
      <c r="F2" s="19" t="str">
        <f>IFERROR(_xlfn.XLOOKUP(E2,#REF!,#REF!), "")</f>
        <v/>
      </c>
      <c r="G2" s="20" t="s">
        <v>85</v>
      </c>
      <c r="H2" t="s">
        <v>86</v>
      </c>
      <c r="I2" s="6" t="s">
        <v>718</v>
      </c>
      <c r="J2" s="6" t="s">
        <v>751</v>
      </c>
      <c r="K2" s="6">
        <v>15</v>
      </c>
    </row>
    <row r="3" spans="1:11" x14ac:dyDescent="0.25">
      <c r="A3" s="2">
        <v>1</v>
      </c>
      <c r="B3" t="str">
        <f>IFERROR((_xlfn.XLOOKUP(A3,Diretriz!A:A,Diretriz!B:B)),"")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3" s="2" t="s">
        <v>4</v>
      </c>
      <c r="D3" t="str">
        <f>IFERROR((_xlfn.XLOOKUP(C3,Objetivo!C:C,Objetivo!D:D)), "")</f>
        <v>Fortalecer a Atenção Primária para apoiar o desenvolvimento de ações em saúde no estado.</v>
      </c>
      <c r="E3" s="20" t="s">
        <v>35</v>
      </c>
      <c r="F3" s="19" t="str">
        <f>IFERROR(_xlfn.XLOOKUP(E3,#REF!,#REF!), "")</f>
        <v/>
      </c>
      <c r="G3" s="20" t="s">
        <v>87</v>
      </c>
      <c r="H3" t="s">
        <v>88</v>
      </c>
      <c r="I3" s="6" t="s">
        <v>718</v>
      </c>
      <c r="J3" s="6" t="s">
        <v>751</v>
      </c>
      <c r="K3" s="6">
        <v>57</v>
      </c>
    </row>
    <row r="4" spans="1:11" x14ac:dyDescent="0.25">
      <c r="A4" s="2">
        <v>1</v>
      </c>
      <c r="B4" t="str">
        <f>IFERROR((_xlfn.XLOOKUP(A4,Diretriz!A:A,Diretriz!B:B)),"")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4" s="2" t="s">
        <v>4</v>
      </c>
      <c r="D4" t="str">
        <f>IFERROR((_xlfn.XLOOKUP(C4,Objetivo!C:C,Objetivo!D:D)), "")</f>
        <v>Fortalecer a Atenção Primária para apoiar o desenvolvimento de ações em saúde no estado.</v>
      </c>
      <c r="E4" s="20" t="s">
        <v>35</v>
      </c>
      <c r="F4" s="19" t="str">
        <f>IFERROR(_xlfn.XLOOKUP(E4,#REF!,#REF!), "")</f>
        <v/>
      </c>
      <c r="G4" s="20" t="s">
        <v>89</v>
      </c>
      <c r="H4" t="s">
        <v>90</v>
      </c>
      <c r="I4" s="6" t="s">
        <v>718</v>
      </c>
      <c r="J4" s="6" t="s">
        <v>751</v>
      </c>
      <c r="K4" s="6">
        <v>57</v>
      </c>
    </row>
    <row r="5" spans="1:11" x14ac:dyDescent="0.25">
      <c r="A5" s="2">
        <v>1</v>
      </c>
      <c r="B5" t="str">
        <f>IFERROR((_xlfn.XLOOKUP(A5,Diretriz!A:A,Diretriz!B:B)),"")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5" s="2" t="s">
        <v>4</v>
      </c>
      <c r="D5" t="str">
        <f>IFERROR((_xlfn.XLOOKUP(C5,Objetivo!C:C,Objetivo!D:D)), "")</f>
        <v>Fortalecer a Atenção Primária para apoiar o desenvolvimento de ações em saúde no estado.</v>
      </c>
      <c r="E5" s="20" t="s">
        <v>35</v>
      </c>
      <c r="F5" s="19" t="str">
        <f>IFERROR(_xlfn.XLOOKUP(E5,#REF!,#REF!), "")</f>
        <v/>
      </c>
      <c r="G5" s="20" t="s">
        <v>91</v>
      </c>
      <c r="H5" t="s">
        <v>92</v>
      </c>
      <c r="I5" s="6" t="s">
        <v>718</v>
      </c>
      <c r="J5" s="6" t="s">
        <v>751</v>
      </c>
      <c r="K5" s="6">
        <v>57</v>
      </c>
    </row>
    <row r="6" spans="1:11" x14ac:dyDescent="0.25">
      <c r="A6" s="2">
        <v>1</v>
      </c>
      <c r="B6" t="str">
        <f>IFERROR((_xlfn.XLOOKUP(A6,Diretriz!A:A,Diretriz!B:B)),"")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6" s="2" t="s">
        <v>4</v>
      </c>
      <c r="D6" t="str">
        <f>IFERROR((_xlfn.XLOOKUP(C6,Objetivo!C:C,Objetivo!D:D)), "")</f>
        <v>Fortalecer a Atenção Primária para apoiar o desenvolvimento de ações em saúde no estado.</v>
      </c>
      <c r="E6" s="20" t="s">
        <v>35</v>
      </c>
      <c r="F6" s="19" t="str">
        <f>IFERROR(_xlfn.XLOOKUP(E6,#REF!,#REF!), "")</f>
        <v/>
      </c>
      <c r="G6" s="20" t="s">
        <v>93</v>
      </c>
      <c r="H6" t="s">
        <v>94</v>
      </c>
      <c r="I6" s="6" t="s">
        <v>718</v>
      </c>
      <c r="J6" s="6" t="s">
        <v>751</v>
      </c>
      <c r="K6" s="6">
        <v>57</v>
      </c>
    </row>
    <row r="7" spans="1:11" x14ac:dyDescent="0.25">
      <c r="A7" s="2">
        <v>1</v>
      </c>
      <c r="B7" t="str">
        <f>IFERROR((_xlfn.XLOOKUP(A7,Diretriz!A:A,Diretriz!B:B)),"")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7" s="2" t="s">
        <v>4</v>
      </c>
      <c r="D7" t="str">
        <f>IFERROR((_xlfn.XLOOKUP(C7,Objetivo!C:C,Objetivo!D:D)), "")</f>
        <v>Fortalecer a Atenção Primária para apoiar o desenvolvimento de ações em saúde no estado.</v>
      </c>
      <c r="E7" s="20" t="s">
        <v>35</v>
      </c>
      <c r="F7" s="19" t="str">
        <f>IFERROR(_xlfn.XLOOKUP(E7,#REF!,#REF!), "")</f>
        <v/>
      </c>
      <c r="G7" s="20" t="s">
        <v>95</v>
      </c>
      <c r="H7" t="s">
        <v>96</v>
      </c>
      <c r="I7" s="6" t="s">
        <v>718</v>
      </c>
      <c r="J7" s="6" t="s">
        <v>751</v>
      </c>
      <c r="K7" s="6">
        <v>57</v>
      </c>
    </row>
    <row r="8" spans="1:11" x14ac:dyDescent="0.25">
      <c r="A8" s="2">
        <v>1</v>
      </c>
      <c r="B8" t="str">
        <f>IFERROR((_xlfn.XLOOKUP(A8,Diretriz!A:A,Diretriz!B:B)),"")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8" s="2" t="s">
        <v>4</v>
      </c>
      <c r="D8" t="str">
        <f>IFERROR((_xlfn.XLOOKUP(C8,Objetivo!C:C,Objetivo!D:D)), "")</f>
        <v>Fortalecer a Atenção Primária para apoiar o desenvolvimento de ações em saúde no estado.</v>
      </c>
      <c r="E8" s="20" t="s">
        <v>35</v>
      </c>
      <c r="F8" s="19" t="str">
        <f>IFERROR(_xlfn.XLOOKUP(E8,#REF!,#REF!), "")</f>
        <v/>
      </c>
      <c r="G8" s="20" t="s">
        <v>97</v>
      </c>
      <c r="H8" t="s">
        <v>98</v>
      </c>
      <c r="I8" s="6" t="s">
        <v>718</v>
      </c>
      <c r="J8" s="6" t="s">
        <v>751</v>
      </c>
      <c r="K8" s="6">
        <v>25</v>
      </c>
    </row>
    <row r="9" spans="1:11" x14ac:dyDescent="0.25">
      <c r="A9" s="2">
        <v>1</v>
      </c>
      <c r="B9" t="str">
        <f>IFERROR((_xlfn.XLOOKUP(A9,Diretriz!A:A,Diretriz!B:B)),"")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9" s="2" t="s">
        <v>4</v>
      </c>
      <c r="D9" t="str">
        <f>IFERROR((_xlfn.XLOOKUP(C9,Objetivo!C:C,Objetivo!D:D)), "")</f>
        <v>Fortalecer a Atenção Primária para apoiar o desenvolvimento de ações em saúde no estado.</v>
      </c>
      <c r="E9" s="20" t="s">
        <v>35</v>
      </c>
      <c r="F9" s="19" t="str">
        <f>IFERROR(_xlfn.XLOOKUP(E9,#REF!,#REF!), "")</f>
        <v/>
      </c>
      <c r="G9" s="20" t="s">
        <v>99</v>
      </c>
      <c r="H9" t="s">
        <v>100</v>
      </c>
      <c r="I9" s="6" t="s">
        <v>718</v>
      </c>
      <c r="J9" s="6" t="s">
        <v>751</v>
      </c>
      <c r="K9" s="6">
        <v>25</v>
      </c>
    </row>
    <row r="10" spans="1:11" x14ac:dyDescent="0.25">
      <c r="A10" s="2">
        <v>1</v>
      </c>
      <c r="B10" t="str">
        <f>IFERROR((_xlfn.XLOOKUP(A10,Diretriz!A:A,Diretriz!B:B)),"")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0" s="2" t="s">
        <v>4</v>
      </c>
      <c r="D10" t="str">
        <f>IFERROR((_xlfn.XLOOKUP(C10,Objetivo!C:C,Objetivo!D:D)), "")</f>
        <v>Fortalecer a Atenção Primária para apoiar o desenvolvimento de ações em saúde no estado.</v>
      </c>
      <c r="E10" s="20" t="s">
        <v>35</v>
      </c>
      <c r="F10" s="19" t="str">
        <f>IFERROR(_xlfn.XLOOKUP(E10,#REF!,#REF!), "")</f>
        <v/>
      </c>
      <c r="G10" s="20" t="s">
        <v>101</v>
      </c>
      <c r="H10" t="s">
        <v>102</v>
      </c>
      <c r="I10" s="6" t="s">
        <v>718</v>
      </c>
      <c r="J10" s="6" t="s">
        <v>751</v>
      </c>
      <c r="K10" s="6">
        <v>25</v>
      </c>
    </row>
    <row r="11" spans="1:11" x14ac:dyDescent="0.25">
      <c r="A11" s="2">
        <v>1</v>
      </c>
      <c r="B11" t="str">
        <f>IFERROR((_xlfn.XLOOKUP(A11,Diretriz!A:A,Diretriz!B:B)),"")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1" s="2" t="s">
        <v>4</v>
      </c>
      <c r="D11" t="str">
        <f>IFERROR((_xlfn.XLOOKUP(C11,Objetivo!C:C,Objetivo!D:D)), "")</f>
        <v>Fortalecer a Atenção Primária para apoiar o desenvolvimento de ações em saúde no estado.</v>
      </c>
      <c r="E11" s="20" t="s">
        <v>35</v>
      </c>
      <c r="F11" s="19" t="str">
        <f>IFERROR(_xlfn.XLOOKUP(E11,#REF!,#REF!), "")</f>
        <v/>
      </c>
      <c r="G11" s="20" t="s">
        <v>103</v>
      </c>
      <c r="H11" t="s">
        <v>104</v>
      </c>
      <c r="I11" s="6" t="s">
        <v>718</v>
      </c>
      <c r="J11" s="6" t="s">
        <v>751</v>
      </c>
      <c r="K11" s="6">
        <v>57</v>
      </c>
    </row>
    <row r="12" spans="1:11" x14ac:dyDescent="0.25">
      <c r="A12" s="2">
        <v>1</v>
      </c>
      <c r="B12" t="str">
        <f>IFERROR((_xlfn.XLOOKUP(A12,Diretriz!A:A,Diretriz!B:B)),"")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2" s="2" t="s">
        <v>4</v>
      </c>
      <c r="D12" t="str">
        <f>IFERROR((_xlfn.XLOOKUP(C12,Objetivo!C:C,Objetivo!D:D)), "")</f>
        <v>Fortalecer a Atenção Primária para apoiar o desenvolvimento de ações em saúde no estado.</v>
      </c>
      <c r="E12" s="20" t="s">
        <v>36</v>
      </c>
      <c r="F12" s="19" t="str">
        <f>IFERROR(_xlfn.XLOOKUP(E12,#REF!,#REF!), "")</f>
        <v/>
      </c>
      <c r="G12" s="20" t="s">
        <v>105</v>
      </c>
      <c r="H12" t="s">
        <v>106</v>
      </c>
      <c r="I12" s="6" t="s">
        <v>718</v>
      </c>
      <c r="J12" s="6" t="s">
        <v>751</v>
      </c>
      <c r="K12" s="6">
        <v>59</v>
      </c>
    </row>
    <row r="13" spans="1:11" x14ac:dyDescent="0.25">
      <c r="A13" s="2">
        <v>1</v>
      </c>
      <c r="B13" t="str">
        <f>IFERROR((_xlfn.XLOOKUP(A13,Diretriz!A:A,Diretriz!B:B)),"")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3" s="2" t="s">
        <v>4</v>
      </c>
      <c r="D13" t="str">
        <f>IFERROR((_xlfn.XLOOKUP(C13,Objetivo!C:C,Objetivo!D:D)), "")</f>
        <v>Fortalecer a Atenção Primária para apoiar o desenvolvimento de ações em saúde no estado.</v>
      </c>
      <c r="E13" s="20" t="s">
        <v>36</v>
      </c>
      <c r="F13" s="19" t="str">
        <f>IFERROR(_xlfn.XLOOKUP(E13,#REF!,#REF!), "")</f>
        <v/>
      </c>
      <c r="G13" s="20" t="s">
        <v>107</v>
      </c>
      <c r="H13" t="s">
        <v>108</v>
      </c>
      <c r="I13" s="6" t="s">
        <v>718</v>
      </c>
      <c r="J13" s="6" t="s">
        <v>751</v>
      </c>
      <c r="K13" s="6">
        <v>7</v>
      </c>
    </row>
    <row r="14" spans="1:11" x14ac:dyDescent="0.25">
      <c r="A14" s="2">
        <v>1</v>
      </c>
      <c r="B14" t="str">
        <f>IFERROR((_xlfn.XLOOKUP(A14,Diretriz!A:A,Diretriz!B:B)),"")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4" s="2" t="s">
        <v>4</v>
      </c>
      <c r="D14" t="str">
        <f>IFERROR((_xlfn.XLOOKUP(C14,Objetivo!C:C,Objetivo!D:D)), "")</f>
        <v>Fortalecer a Atenção Primária para apoiar o desenvolvimento de ações em saúde no estado.</v>
      </c>
      <c r="E14" s="20" t="s">
        <v>36</v>
      </c>
      <c r="F14" s="19" t="str">
        <f>IFERROR(_xlfn.XLOOKUP(E14,#REF!,#REF!), "")</f>
        <v/>
      </c>
      <c r="G14" s="20" t="s">
        <v>109</v>
      </c>
      <c r="H14" t="s">
        <v>110</v>
      </c>
      <c r="I14" s="6" t="s">
        <v>718</v>
      </c>
      <c r="J14" s="6" t="s">
        <v>751</v>
      </c>
      <c r="K14" s="6">
        <v>59</v>
      </c>
    </row>
    <row r="15" spans="1:11" x14ac:dyDescent="0.25">
      <c r="A15" s="2">
        <v>1</v>
      </c>
      <c r="B15" t="str">
        <f>IFERROR((_xlfn.XLOOKUP(A15,Diretriz!A:A,Diretriz!B:B)),"")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5" s="2" t="s">
        <v>4</v>
      </c>
      <c r="D15" t="str">
        <f>IFERROR((_xlfn.XLOOKUP(C15,Objetivo!C:C,Objetivo!D:D)), "")</f>
        <v>Fortalecer a Atenção Primária para apoiar o desenvolvimento de ações em saúde no estado.</v>
      </c>
      <c r="E15" s="20" t="s">
        <v>36</v>
      </c>
      <c r="F15" s="19" t="str">
        <f>IFERROR(_xlfn.XLOOKUP(E15,#REF!,#REF!), "")</f>
        <v/>
      </c>
      <c r="G15" s="20" t="s">
        <v>111</v>
      </c>
      <c r="H15" t="s">
        <v>112</v>
      </c>
      <c r="I15" s="6" t="s">
        <v>718</v>
      </c>
      <c r="J15" s="6" t="s">
        <v>751</v>
      </c>
      <c r="K15" s="6">
        <v>59</v>
      </c>
    </row>
    <row r="16" spans="1:11" x14ac:dyDescent="0.25">
      <c r="A16" s="2">
        <v>1</v>
      </c>
      <c r="B16" t="str">
        <f>IFERROR((_xlfn.XLOOKUP(A16,Diretriz!A:A,Diretriz!B:B)),"")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6" s="2" t="s">
        <v>4</v>
      </c>
      <c r="D16" t="str">
        <f>IFERROR((_xlfn.XLOOKUP(C16,Objetivo!C:C,Objetivo!D:D)), "")</f>
        <v>Fortalecer a Atenção Primária para apoiar o desenvolvimento de ações em saúde no estado.</v>
      </c>
      <c r="E16" s="20" t="s">
        <v>37</v>
      </c>
      <c r="F16" s="19" t="str">
        <f>IFERROR(_xlfn.XLOOKUP(E16,#REF!,#REF!), "")</f>
        <v/>
      </c>
      <c r="G16" s="20" t="s">
        <v>113</v>
      </c>
      <c r="H16" t="s">
        <v>114</v>
      </c>
      <c r="I16" s="6" t="s">
        <v>718</v>
      </c>
      <c r="J16" s="6" t="s">
        <v>751</v>
      </c>
      <c r="K16" s="6">
        <v>60</v>
      </c>
    </row>
    <row r="17" spans="1:11" x14ac:dyDescent="0.25">
      <c r="A17" s="2">
        <v>1</v>
      </c>
      <c r="B17" t="str">
        <f>IFERROR((_xlfn.XLOOKUP(A17,Diretriz!A:A,Diretriz!B:B)),"")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7" s="2" t="s">
        <v>4</v>
      </c>
      <c r="D17" t="str">
        <f>IFERROR((_xlfn.XLOOKUP(C17,Objetivo!C:C,Objetivo!D:D)), "")</f>
        <v>Fortalecer a Atenção Primária para apoiar o desenvolvimento de ações em saúde no estado.</v>
      </c>
      <c r="E17" s="20" t="s">
        <v>37</v>
      </c>
      <c r="F17" s="19" t="str">
        <f>IFERROR(_xlfn.XLOOKUP(E17,#REF!,#REF!), "")</f>
        <v/>
      </c>
      <c r="G17" s="20" t="s">
        <v>115</v>
      </c>
      <c r="H17" t="s">
        <v>116</v>
      </c>
      <c r="I17" s="6" t="s">
        <v>718</v>
      </c>
      <c r="J17" s="6" t="s">
        <v>751</v>
      </c>
      <c r="K17" s="6">
        <v>60</v>
      </c>
    </row>
    <row r="18" spans="1:11" x14ac:dyDescent="0.25">
      <c r="A18" s="2">
        <v>1</v>
      </c>
      <c r="B18" t="str">
        <f>IFERROR((_xlfn.XLOOKUP(A18,Diretriz!A:A,Diretriz!B:B)),"")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8" s="2" t="s">
        <v>4</v>
      </c>
      <c r="D18" t="str">
        <f>IFERROR((_xlfn.XLOOKUP(C18,Objetivo!C:C,Objetivo!D:D)), "")</f>
        <v>Fortalecer a Atenção Primária para apoiar o desenvolvimento de ações em saúde no estado.</v>
      </c>
      <c r="E18" s="20" t="s">
        <v>37</v>
      </c>
      <c r="F18" s="19" t="str">
        <f>IFERROR(_xlfn.XLOOKUP(E18,#REF!,#REF!), "")</f>
        <v/>
      </c>
      <c r="G18" s="20" t="s">
        <v>117</v>
      </c>
      <c r="H18" t="s">
        <v>118</v>
      </c>
      <c r="I18" s="6" t="s">
        <v>718</v>
      </c>
      <c r="J18" s="6" t="s">
        <v>751</v>
      </c>
      <c r="K18" s="6">
        <v>60</v>
      </c>
    </row>
    <row r="19" spans="1:11" x14ac:dyDescent="0.25">
      <c r="A19" s="2">
        <v>1</v>
      </c>
      <c r="B19" t="str">
        <f>IFERROR((_xlfn.XLOOKUP(A19,Diretriz!A:A,Diretriz!B:B)),"")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9" s="2" t="s">
        <v>4</v>
      </c>
      <c r="D19" t="str">
        <f>IFERROR((_xlfn.XLOOKUP(C19,Objetivo!C:C,Objetivo!D:D)), "")</f>
        <v>Fortalecer a Atenção Primária para apoiar o desenvolvimento de ações em saúde no estado.</v>
      </c>
      <c r="E19" s="20" t="s">
        <v>37</v>
      </c>
      <c r="F19" s="19" t="str">
        <f>IFERROR(_xlfn.XLOOKUP(E19,#REF!,#REF!), "")</f>
        <v/>
      </c>
      <c r="G19" s="20" t="s">
        <v>119</v>
      </c>
      <c r="H19" t="s">
        <v>120</v>
      </c>
      <c r="I19" s="6" t="s">
        <v>718</v>
      </c>
      <c r="J19" s="6" t="s">
        <v>751</v>
      </c>
      <c r="K19" s="6">
        <v>60</v>
      </c>
    </row>
    <row r="20" spans="1:11" x14ac:dyDescent="0.25">
      <c r="A20" s="2">
        <v>1</v>
      </c>
      <c r="B20" t="str">
        <f>IFERROR((_xlfn.XLOOKUP(A20,Diretriz!A:A,Diretriz!B:B)),"")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20" s="2" t="s">
        <v>4</v>
      </c>
      <c r="D20" t="str">
        <f>IFERROR((_xlfn.XLOOKUP(C20,Objetivo!C:C,Objetivo!D:D)), "")</f>
        <v>Fortalecer a Atenção Primária para apoiar o desenvolvimento de ações em saúde no estado.</v>
      </c>
      <c r="E20" s="20" t="s">
        <v>37</v>
      </c>
      <c r="F20" s="19" t="str">
        <f>IFERROR(_xlfn.XLOOKUP(E20,#REF!,#REF!), "")</f>
        <v/>
      </c>
      <c r="G20" s="20" t="s">
        <v>121</v>
      </c>
      <c r="H20" t="s">
        <v>122</v>
      </c>
      <c r="I20" s="6" t="s">
        <v>718</v>
      </c>
      <c r="J20" s="6" t="s">
        <v>751</v>
      </c>
      <c r="K20" s="6">
        <v>60</v>
      </c>
    </row>
    <row r="21" spans="1:11" x14ac:dyDescent="0.25">
      <c r="A21" s="2">
        <v>1</v>
      </c>
      <c r="B21" t="str">
        <f>IFERROR((_xlfn.XLOOKUP(A21,Diretriz!A:A,Diretriz!B:B)),"")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21" s="2" t="s">
        <v>4</v>
      </c>
      <c r="D21" t="str">
        <f>IFERROR((_xlfn.XLOOKUP(C21,Objetivo!C:C,Objetivo!D:D)), "")</f>
        <v>Fortalecer a Atenção Primária para apoiar o desenvolvimento de ações em saúde no estado.</v>
      </c>
      <c r="E21" s="20" t="s">
        <v>37</v>
      </c>
      <c r="F21" s="19" t="str">
        <f>IFERROR(_xlfn.XLOOKUP(E21,#REF!,#REF!), "")</f>
        <v/>
      </c>
      <c r="G21" s="20" t="s">
        <v>123</v>
      </c>
      <c r="H21" t="s">
        <v>124</v>
      </c>
      <c r="I21" s="6" t="s">
        <v>718</v>
      </c>
      <c r="J21" s="6" t="s">
        <v>751</v>
      </c>
      <c r="K21" s="6">
        <v>20</v>
      </c>
    </row>
    <row r="22" spans="1:11" x14ac:dyDescent="0.25">
      <c r="A22" s="2">
        <v>1</v>
      </c>
      <c r="B22" t="str">
        <f>IFERROR((_xlfn.XLOOKUP(A22,Diretriz!A:A,Diretriz!B:B)),"")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22" s="2" t="s">
        <v>4</v>
      </c>
      <c r="D22" t="str">
        <f>IFERROR((_xlfn.XLOOKUP(C22,Objetivo!C:C,Objetivo!D:D)), "")</f>
        <v>Fortalecer a Atenção Primária para apoiar o desenvolvimento de ações em saúde no estado.</v>
      </c>
      <c r="E22" s="20" t="s">
        <v>37</v>
      </c>
      <c r="F22" s="19" t="str">
        <f>IFERROR(_xlfn.XLOOKUP(E22,#REF!,#REF!), "")</f>
        <v/>
      </c>
      <c r="G22" s="20" t="s">
        <v>125</v>
      </c>
      <c r="H22" t="s">
        <v>126</v>
      </c>
      <c r="I22" s="6" t="s">
        <v>718</v>
      </c>
      <c r="J22" s="6" t="s">
        <v>751</v>
      </c>
      <c r="K22" s="6">
        <v>60</v>
      </c>
    </row>
    <row r="23" spans="1:11" x14ac:dyDescent="0.25">
      <c r="A23" s="2">
        <v>1</v>
      </c>
      <c r="B23" t="str">
        <f>IFERROR((_xlfn.XLOOKUP(A23,Diretriz!A:A,Diretriz!B:B)),"")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23" s="2" t="s">
        <v>4</v>
      </c>
      <c r="D23" t="str">
        <f>IFERROR((_xlfn.XLOOKUP(C23,Objetivo!C:C,Objetivo!D:D)), "")</f>
        <v>Fortalecer a Atenção Primária para apoiar o desenvolvimento de ações em saúde no estado.</v>
      </c>
      <c r="E23" s="20" t="s">
        <v>37</v>
      </c>
      <c r="F23" s="19" t="str">
        <f>IFERROR(_xlfn.XLOOKUP(E23,#REF!,#REF!), "")</f>
        <v/>
      </c>
      <c r="G23" s="20" t="s">
        <v>127</v>
      </c>
      <c r="H23" t="s">
        <v>128</v>
      </c>
      <c r="I23" s="6" t="s">
        <v>718</v>
      </c>
      <c r="J23" s="6" t="s">
        <v>751</v>
      </c>
      <c r="K23" s="6">
        <v>60</v>
      </c>
    </row>
    <row r="24" spans="1:11" x14ac:dyDescent="0.25">
      <c r="A24" s="2">
        <v>1</v>
      </c>
      <c r="B24" t="str">
        <f>IFERROR((_xlfn.XLOOKUP(A24,Diretriz!A:A,Diretriz!B:B)),"")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24" s="2" t="s">
        <v>4</v>
      </c>
      <c r="D24" t="str">
        <f>IFERROR((_xlfn.XLOOKUP(C24,Objetivo!C:C,Objetivo!D:D)), "")</f>
        <v>Fortalecer a Atenção Primária para apoiar o desenvolvimento de ações em saúde no estado.</v>
      </c>
      <c r="E24" s="20" t="s">
        <v>38</v>
      </c>
      <c r="F24" s="19" t="str">
        <f>IFERROR(_xlfn.XLOOKUP(E24,#REF!,#REF!), "")</f>
        <v/>
      </c>
      <c r="G24" s="20" t="s">
        <v>129</v>
      </c>
      <c r="H24" t="s">
        <v>130</v>
      </c>
      <c r="I24" s="6" t="s">
        <v>719</v>
      </c>
      <c r="J24" s="6" t="s">
        <v>751</v>
      </c>
      <c r="K24" s="6">
        <v>47</v>
      </c>
    </row>
    <row r="25" spans="1:11" x14ac:dyDescent="0.25">
      <c r="A25" s="2">
        <v>1</v>
      </c>
      <c r="B25" t="str">
        <f>IFERROR((_xlfn.XLOOKUP(A25,Diretriz!A:A,Diretriz!B:B)),"")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25" s="2" t="s">
        <v>4</v>
      </c>
      <c r="D25" t="str">
        <f>IFERROR((_xlfn.XLOOKUP(C25,Objetivo!C:C,Objetivo!D:D)), "")</f>
        <v>Fortalecer a Atenção Primária para apoiar o desenvolvimento de ações em saúde no estado.</v>
      </c>
      <c r="E25" s="20" t="s">
        <v>38</v>
      </c>
      <c r="F25" s="19" t="str">
        <f>IFERROR(_xlfn.XLOOKUP(E25,#REF!,#REF!), "")</f>
        <v/>
      </c>
      <c r="G25" s="20" t="s">
        <v>131</v>
      </c>
      <c r="H25" t="s">
        <v>132</v>
      </c>
      <c r="I25" s="6" t="s">
        <v>719</v>
      </c>
      <c r="J25" s="6" t="s">
        <v>751</v>
      </c>
      <c r="K25" s="6">
        <v>47</v>
      </c>
    </row>
    <row r="26" spans="1:11" x14ac:dyDescent="0.25">
      <c r="A26" s="2">
        <v>1</v>
      </c>
      <c r="B26" t="str">
        <f>IFERROR((_xlfn.XLOOKUP(A26,Diretriz!A:A,Diretriz!B:B)),"")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26" s="2" t="s">
        <v>4</v>
      </c>
      <c r="D26" t="str">
        <f>IFERROR((_xlfn.XLOOKUP(C26,Objetivo!C:C,Objetivo!D:D)), "")</f>
        <v>Fortalecer a Atenção Primária para apoiar o desenvolvimento de ações em saúde no estado.</v>
      </c>
      <c r="E26" s="20" t="s">
        <v>38</v>
      </c>
      <c r="F26" s="19" t="str">
        <f>IFERROR(_xlfn.XLOOKUP(E26,#REF!,#REF!), "")</f>
        <v/>
      </c>
      <c r="G26" s="20" t="s">
        <v>133</v>
      </c>
      <c r="H26" t="s">
        <v>134</v>
      </c>
      <c r="I26" s="6" t="s">
        <v>719</v>
      </c>
      <c r="J26" s="6" t="s">
        <v>751</v>
      </c>
      <c r="K26" s="6">
        <v>47</v>
      </c>
    </row>
    <row r="27" spans="1:11" x14ac:dyDescent="0.25">
      <c r="A27" s="2">
        <v>1</v>
      </c>
      <c r="B27" t="str">
        <f>IFERROR((_xlfn.XLOOKUP(A27,Diretriz!A:A,Diretriz!B:B)),"")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27" s="2" t="s">
        <v>4</v>
      </c>
      <c r="D27" t="str">
        <f>IFERROR((_xlfn.XLOOKUP(C27,Objetivo!C:C,Objetivo!D:D)), "")</f>
        <v>Fortalecer a Atenção Primária para apoiar o desenvolvimento de ações em saúde no estado.</v>
      </c>
      <c r="E27" s="20" t="s">
        <v>39</v>
      </c>
      <c r="F27" s="19" t="str">
        <f>IFERROR(_xlfn.XLOOKUP(E27,#REF!,#REF!), "")</f>
        <v/>
      </c>
      <c r="G27" s="20" t="s">
        <v>135</v>
      </c>
      <c r="H27" t="s">
        <v>136</v>
      </c>
      <c r="I27" s="6" t="s">
        <v>718</v>
      </c>
      <c r="J27" s="6" t="s">
        <v>751</v>
      </c>
      <c r="K27" s="6">
        <v>53</v>
      </c>
    </row>
    <row r="28" spans="1:11" x14ac:dyDescent="0.25">
      <c r="A28" s="2">
        <v>1</v>
      </c>
      <c r="B28" t="str">
        <f>IFERROR((_xlfn.XLOOKUP(A28,Diretriz!A:A,Diretriz!B:B)),"")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28" s="2" t="s">
        <v>4</v>
      </c>
      <c r="D28" t="str">
        <f>IFERROR((_xlfn.XLOOKUP(C28,Objetivo!C:C,Objetivo!D:D)), "")</f>
        <v>Fortalecer a Atenção Primária para apoiar o desenvolvimento de ações em saúde no estado.</v>
      </c>
      <c r="E28" s="20" t="s">
        <v>39</v>
      </c>
      <c r="F28" s="19" t="str">
        <f>IFERROR(_xlfn.XLOOKUP(E28,#REF!,#REF!), "")</f>
        <v/>
      </c>
      <c r="G28" s="20" t="s">
        <v>137</v>
      </c>
      <c r="H28" t="s">
        <v>138</v>
      </c>
      <c r="I28" s="6" t="s">
        <v>718</v>
      </c>
      <c r="J28" s="6" t="s">
        <v>751</v>
      </c>
      <c r="K28" s="6">
        <v>53</v>
      </c>
    </row>
    <row r="29" spans="1:11" x14ac:dyDescent="0.25">
      <c r="A29" s="2">
        <v>1</v>
      </c>
      <c r="B29" t="str">
        <f>IFERROR((_xlfn.XLOOKUP(A29,Diretriz!A:A,Diretriz!B:B)),"")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29" s="2" t="s">
        <v>4</v>
      </c>
      <c r="D29" t="str">
        <f>IFERROR((_xlfn.XLOOKUP(C29,Objetivo!C:C,Objetivo!D:D)), "")</f>
        <v>Fortalecer a Atenção Primária para apoiar o desenvolvimento de ações em saúde no estado.</v>
      </c>
      <c r="E29" s="20" t="s">
        <v>39</v>
      </c>
      <c r="F29" s="19" t="str">
        <f>IFERROR(_xlfn.XLOOKUP(E29,#REF!,#REF!), "")</f>
        <v/>
      </c>
      <c r="G29" s="20" t="s">
        <v>139</v>
      </c>
      <c r="H29" t="s">
        <v>140</v>
      </c>
      <c r="I29" s="6" t="s">
        <v>718</v>
      </c>
      <c r="J29" s="6" t="s">
        <v>751</v>
      </c>
      <c r="K29" s="6">
        <v>53</v>
      </c>
    </row>
    <row r="30" spans="1:11" x14ac:dyDescent="0.25">
      <c r="A30" s="2">
        <v>1</v>
      </c>
      <c r="B30" t="str">
        <f>IFERROR((_xlfn.XLOOKUP(A30,Diretriz!A:A,Diretriz!B:B)),"")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30" s="2" t="s">
        <v>4</v>
      </c>
      <c r="D30" t="str">
        <f>IFERROR((_xlfn.XLOOKUP(C30,Objetivo!C:C,Objetivo!D:D)), "")</f>
        <v>Fortalecer a Atenção Primária para apoiar o desenvolvimento de ações em saúde no estado.</v>
      </c>
      <c r="E30" s="20" t="s">
        <v>39</v>
      </c>
      <c r="F30" s="19" t="str">
        <f>IFERROR(_xlfn.XLOOKUP(E30,#REF!,#REF!), "")</f>
        <v/>
      </c>
      <c r="G30" s="20" t="s">
        <v>141</v>
      </c>
      <c r="H30" t="s">
        <v>142</v>
      </c>
      <c r="I30" s="6" t="s">
        <v>718</v>
      </c>
      <c r="J30" s="6" t="s">
        <v>751</v>
      </c>
      <c r="K30" s="6">
        <v>10</v>
      </c>
    </row>
    <row r="31" spans="1:11" x14ac:dyDescent="0.25">
      <c r="A31" s="2">
        <v>1</v>
      </c>
      <c r="B31" t="str">
        <f>IFERROR((_xlfn.XLOOKUP(A31,Diretriz!A:A,Diretriz!B:B)),"")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31" s="2" t="s">
        <v>4</v>
      </c>
      <c r="D31" t="str">
        <f>IFERROR((_xlfn.XLOOKUP(C31,Objetivo!C:C,Objetivo!D:D)), "")</f>
        <v>Fortalecer a Atenção Primária para apoiar o desenvolvimento de ações em saúde no estado.</v>
      </c>
      <c r="E31" s="20" t="s">
        <v>39</v>
      </c>
      <c r="F31" s="19" t="str">
        <f>IFERROR(_xlfn.XLOOKUP(E31,#REF!,#REF!), "")</f>
        <v/>
      </c>
      <c r="G31" s="20" t="s">
        <v>143</v>
      </c>
      <c r="H31" t="s">
        <v>144</v>
      </c>
      <c r="I31" s="6" t="s">
        <v>718</v>
      </c>
      <c r="J31" s="6" t="s">
        <v>751</v>
      </c>
      <c r="K31" s="6">
        <v>10</v>
      </c>
    </row>
    <row r="32" spans="1:11" x14ac:dyDescent="0.25">
      <c r="A32" s="2">
        <v>1</v>
      </c>
      <c r="B32" t="str">
        <f>IFERROR((_xlfn.XLOOKUP(A32,Diretriz!A:A,Diretriz!B:B)),"")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32" s="2" t="s">
        <v>4</v>
      </c>
      <c r="D32" t="str">
        <f>IFERROR((_xlfn.XLOOKUP(C32,Objetivo!C:C,Objetivo!D:D)), "")</f>
        <v>Fortalecer a Atenção Primária para apoiar o desenvolvimento de ações em saúde no estado.</v>
      </c>
      <c r="E32" s="20" t="s">
        <v>39</v>
      </c>
      <c r="F32" s="19" t="str">
        <f>IFERROR(_xlfn.XLOOKUP(E32,#REF!,#REF!), "")</f>
        <v/>
      </c>
      <c r="G32" s="20" t="s">
        <v>145</v>
      </c>
      <c r="H32" t="s">
        <v>146</v>
      </c>
      <c r="I32" s="6" t="s">
        <v>718</v>
      </c>
      <c r="J32" s="6" t="s">
        <v>751</v>
      </c>
      <c r="K32" s="6">
        <v>53</v>
      </c>
    </row>
    <row r="33" spans="1:11" x14ac:dyDescent="0.25">
      <c r="A33" s="2">
        <v>1</v>
      </c>
      <c r="B33" t="str">
        <f>IFERROR((_xlfn.XLOOKUP(A33,Diretriz!A:A,Diretriz!B:B)),"")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33" s="2" t="s">
        <v>4</v>
      </c>
      <c r="D33" t="str">
        <f>IFERROR((_xlfn.XLOOKUP(C33,Objetivo!C:C,Objetivo!D:D)), "")</f>
        <v>Fortalecer a Atenção Primária para apoiar o desenvolvimento de ações em saúde no estado.</v>
      </c>
      <c r="E33" s="20" t="s">
        <v>39</v>
      </c>
      <c r="F33" s="19" t="str">
        <f>IFERROR(_xlfn.XLOOKUP(E33,#REF!,#REF!), "")</f>
        <v/>
      </c>
      <c r="G33" s="20" t="s">
        <v>147</v>
      </c>
      <c r="H33" t="s">
        <v>148</v>
      </c>
      <c r="I33" s="6" t="s">
        <v>720</v>
      </c>
      <c r="J33" s="6" t="s">
        <v>751</v>
      </c>
      <c r="K33" s="6">
        <v>19</v>
      </c>
    </row>
    <row r="34" spans="1:11" x14ac:dyDescent="0.25">
      <c r="A34" s="2">
        <v>1</v>
      </c>
      <c r="B34" t="str">
        <f>IFERROR((_xlfn.XLOOKUP(A34,Diretriz!A:A,Diretriz!B:B)),"")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34" s="2" t="s">
        <v>4</v>
      </c>
      <c r="D34" t="str">
        <f>IFERROR((_xlfn.XLOOKUP(C34,Objetivo!C:C,Objetivo!D:D)), "")</f>
        <v>Fortalecer a Atenção Primária para apoiar o desenvolvimento de ações em saúde no estado.</v>
      </c>
      <c r="E34" s="20" t="s">
        <v>39</v>
      </c>
      <c r="F34" s="19" t="str">
        <f>IFERROR(_xlfn.XLOOKUP(E34,#REF!,#REF!), "")</f>
        <v/>
      </c>
      <c r="G34" s="20" t="s">
        <v>149</v>
      </c>
      <c r="H34" t="s">
        <v>150</v>
      </c>
      <c r="I34" s="6" t="s">
        <v>718</v>
      </c>
      <c r="J34" s="6" t="s">
        <v>751</v>
      </c>
      <c r="K34" s="6">
        <v>53</v>
      </c>
    </row>
    <row r="35" spans="1:11" x14ac:dyDescent="0.25">
      <c r="A35" s="2">
        <v>1</v>
      </c>
      <c r="B35" t="str">
        <f>IFERROR((_xlfn.XLOOKUP(A35,Diretriz!A:A,Diretriz!B:B)),"")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35" s="2" t="s">
        <v>4</v>
      </c>
      <c r="D35" t="str">
        <f>IFERROR((_xlfn.XLOOKUP(C35,Objetivo!C:C,Objetivo!D:D)), "")</f>
        <v>Fortalecer a Atenção Primária para apoiar o desenvolvimento de ações em saúde no estado.</v>
      </c>
      <c r="E35" s="20" t="s">
        <v>40</v>
      </c>
      <c r="F35" s="19" t="str">
        <f>IFERROR(_xlfn.XLOOKUP(E35,#REF!,#REF!), "")</f>
        <v/>
      </c>
      <c r="G35" s="20" t="s">
        <v>151</v>
      </c>
      <c r="H35" t="s">
        <v>159</v>
      </c>
      <c r="I35" s="6" t="s">
        <v>718</v>
      </c>
      <c r="J35" s="6" t="s">
        <v>751</v>
      </c>
      <c r="K35" s="6">
        <v>10</v>
      </c>
    </row>
    <row r="36" spans="1:11" x14ac:dyDescent="0.25">
      <c r="A36" s="2">
        <v>1</v>
      </c>
      <c r="B36" t="str">
        <f>IFERROR((_xlfn.XLOOKUP(A36,Diretriz!A:A,Diretriz!B:B)),"")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36" s="2" t="s">
        <v>4</v>
      </c>
      <c r="D36" t="str">
        <f>IFERROR((_xlfn.XLOOKUP(C36,Objetivo!C:C,Objetivo!D:D)), "")</f>
        <v>Fortalecer a Atenção Primária para apoiar o desenvolvimento de ações em saúde no estado.</v>
      </c>
      <c r="E36" s="20" t="s">
        <v>40</v>
      </c>
      <c r="F36" s="19" t="str">
        <f>IFERROR(_xlfn.XLOOKUP(E36,#REF!,#REF!), "")</f>
        <v/>
      </c>
      <c r="G36" s="20" t="s">
        <v>435</v>
      </c>
      <c r="H36" t="s">
        <v>152</v>
      </c>
      <c r="I36" s="6" t="s">
        <v>718</v>
      </c>
      <c r="J36" s="6" t="s">
        <v>751</v>
      </c>
      <c r="K36" s="6">
        <v>4</v>
      </c>
    </row>
    <row r="37" spans="1:11" x14ac:dyDescent="0.25">
      <c r="A37" s="2">
        <v>1</v>
      </c>
      <c r="B37" t="str">
        <f>IFERROR((_xlfn.XLOOKUP(A37,Diretriz!A:A,Diretriz!B:B)),"")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37" s="2" t="s">
        <v>4</v>
      </c>
      <c r="D37" t="str">
        <f>IFERROR((_xlfn.XLOOKUP(C37,Objetivo!C:C,Objetivo!D:D)), "")</f>
        <v>Fortalecer a Atenção Primária para apoiar o desenvolvimento de ações em saúde no estado.</v>
      </c>
      <c r="E37" s="20" t="s">
        <v>40</v>
      </c>
      <c r="F37" s="19" t="str">
        <f>IFERROR(_xlfn.XLOOKUP(E37,#REF!,#REF!), "")</f>
        <v/>
      </c>
      <c r="G37" s="20" t="s">
        <v>436</v>
      </c>
      <c r="H37" t="s">
        <v>153</v>
      </c>
      <c r="I37" s="6" t="s">
        <v>718</v>
      </c>
      <c r="J37" s="6" t="s">
        <v>751</v>
      </c>
      <c r="K37" s="6">
        <v>45</v>
      </c>
    </row>
    <row r="38" spans="1:11" x14ac:dyDescent="0.25">
      <c r="A38" s="2">
        <v>1</v>
      </c>
      <c r="B38" t="str">
        <f>IFERROR((_xlfn.XLOOKUP(A38,Diretriz!A:A,Diretriz!B:B)),"")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38" s="2" t="s">
        <v>4</v>
      </c>
      <c r="D38" t="str">
        <f>IFERROR((_xlfn.XLOOKUP(C38,Objetivo!C:C,Objetivo!D:D)), "")</f>
        <v>Fortalecer a Atenção Primária para apoiar o desenvolvimento de ações em saúde no estado.</v>
      </c>
      <c r="E38" s="20" t="s">
        <v>40</v>
      </c>
      <c r="F38" s="19" t="str">
        <f>IFERROR(_xlfn.XLOOKUP(E38,#REF!,#REF!), "")</f>
        <v/>
      </c>
      <c r="G38" s="20" t="s">
        <v>437</v>
      </c>
      <c r="H38" t="s">
        <v>154</v>
      </c>
      <c r="I38" s="6" t="s">
        <v>718</v>
      </c>
      <c r="J38" s="6" t="s">
        <v>751</v>
      </c>
      <c r="K38" s="6">
        <v>12</v>
      </c>
    </row>
    <row r="39" spans="1:11" x14ac:dyDescent="0.25">
      <c r="A39" s="2">
        <v>1</v>
      </c>
      <c r="B39" t="str">
        <f>IFERROR((_xlfn.XLOOKUP(A39,Diretriz!A:A,Diretriz!B:B)),"")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39" s="2" t="s">
        <v>4</v>
      </c>
      <c r="D39" t="str">
        <f>IFERROR((_xlfn.XLOOKUP(C39,Objetivo!C:C,Objetivo!D:D)), "")</f>
        <v>Fortalecer a Atenção Primária para apoiar o desenvolvimento de ações em saúde no estado.</v>
      </c>
      <c r="E39" s="20" t="s">
        <v>40</v>
      </c>
      <c r="F39" s="19" t="str">
        <f>IFERROR(_xlfn.XLOOKUP(E39,#REF!,#REF!), "")</f>
        <v/>
      </c>
      <c r="G39" s="20" t="s">
        <v>438</v>
      </c>
      <c r="H39" t="s">
        <v>155</v>
      </c>
      <c r="I39" s="6" t="s">
        <v>718</v>
      </c>
      <c r="J39" s="6" t="s">
        <v>751</v>
      </c>
      <c r="K39" s="6">
        <v>20</v>
      </c>
    </row>
    <row r="40" spans="1:11" x14ac:dyDescent="0.25">
      <c r="A40" s="2">
        <v>1</v>
      </c>
      <c r="B40" t="str">
        <f>IFERROR((_xlfn.XLOOKUP(A40,Diretriz!A:A,Diretriz!B:B)),"")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40" s="2" t="s">
        <v>4</v>
      </c>
      <c r="D40" t="str">
        <f>IFERROR((_xlfn.XLOOKUP(C40,Objetivo!C:C,Objetivo!D:D)), "")</f>
        <v>Fortalecer a Atenção Primária para apoiar o desenvolvimento de ações em saúde no estado.</v>
      </c>
      <c r="E40" s="20" t="s">
        <v>40</v>
      </c>
      <c r="F40" s="19" t="str">
        <f>IFERROR(_xlfn.XLOOKUP(E40,#REF!,#REF!), "")</f>
        <v/>
      </c>
      <c r="G40" s="20" t="s">
        <v>439</v>
      </c>
      <c r="H40" t="s">
        <v>156</v>
      </c>
      <c r="I40" s="6" t="s">
        <v>718</v>
      </c>
      <c r="J40" s="6" t="s">
        <v>751</v>
      </c>
      <c r="K40" s="6">
        <v>10</v>
      </c>
    </row>
    <row r="41" spans="1:11" x14ac:dyDescent="0.25">
      <c r="A41" s="2">
        <v>1</v>
      </c>
      <c r="B41" t="str">
        <f>IFERROR((_xlfn.XLOOKUP(A41,Diretriz!A:A,Diretriz!B:B)),"")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41" s="2" t="s">
        <v>4</v>
      </c>
      <c r="D41" t="str">
        <f>IFERROR((_xlfn.XLOOKUP(C41,Objetivo!C:C,Objetivo!D:D)), "")</f>
        <v>Fortalecer a Atenção Primária para apoiar o desenvolvimento de ações em saúde no estado.</v>
      </c>
      <c r="E41" s="20" t="s">
        <v>40</v>
      </c>
      <c r="F41" s="19" t="str">
        <f>IFERROR(_xlfn.XLOOKUP(E41,#REF!,#REF!), "")</f>
        <v/>
      </c>
      <c r="G41" s="20" t="s">
        <v>440</v>
      </c>
      <c r="H41" t="s">
        <v>157</v>
      </c>
      <c r="I41" s="6" t="s">
        <v>718</v>
      </c>
      <c r="J41" s="6" t="s">
        <v>751</v>
      </c>
      <c r="K41" s="6">
        <v>45</v>
      </c>
    </row>
    <row r="42" spans="1:11" x14ac:dyDescent="0.25">
      <c r="A42" s="2">
        <v>1</v>
      </c>
      <c r="B42" t="str">
        <f>IFERROR((_xlfn.XLOOKUP(A42,Diretriz!A:A,Diretriz!B:B)),"")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42" s="2" t="s">
        <v>4</v>
      </c>
      <c r="D42" t="str">
        <f>IFERROR((_xlfn.XLOOKUP(C42,Objetivo!C:C,Objetivo!D:D)), "")</f>
        <v>Fortalecer a Atenção Primária para apoiar o desenvolvimento de ações em saúde no estado.</v>
      </c>
      <c r="E42" s="20" t="s">
        <v>40</v>
      </c>
      <c r="F42" s="19" t="str">
        <f>IFERROR(_xlfn.XLOOKUP(E42,#REF!,#REF!), "")</f>
        <v/>
      </c>
      <c r="G42" s="20" t="s">
        <v>441</v>
      </c>
      <c r="H42" t="s">
        <v>158</v>
      </c>
      <c r="I42" s="6" t="s">
        <v>718</v>
      </c>
      <c r="J42" s="6" t="s">
        <v>751</v>
      </c>
      <c r="K42" s="6">
        <v>10</v>
      </c>
    </row>
    <row r="43" spans="1:11" x14ac:dyDescent="0.25">
      <c r="A43" s="2">
        <v>1</v>
      </c>
      <c r="B43" t="str">
        <f>IFERROR((_xlfn.XLOOKUP(A43,Diretriz!A:A,Diretriz!B:B)),"")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43" s="2" t="s">
        <v>4</v>
      </c>
      <c r="D43" t="str">
        <f>IFERROR((_xlfn.XLOOKUP(C43,Objetivo!C:C,Objetivo!D:D)), "")</f>
        <v>Fortalecer a Atenção Primária para apoiar o desenvolvimento de ações em saúde no estado.</v>
      </c>
      <c r="E43" s="20" t="s">
        <v>41</v>
      </c>
      <c r="F43" s="19" t="str">
        <f>IFERROR(_xlfn.XLOOKUP(E43,#REF!,#REF!), "")</f>
        <v/>
      </c>
      <c r="G43" s="20" t="s">
        <v>442</v>
      </c>
      <c r="H43" t="s">
        <v>160</v>
      </c>
      <c r="I43" s="6" t="s">
        <v>718</v>
      </c>
      <c r="J43" s="6" t="s">
        <v>751</v>
      </c>
      <c r="K43" s="6">
        <v>58</v>
      </c>
    </row>
    <row r="44" spans="1:11" x14ac:dyDescent="0.25">
      <c r="A44" s="2">
        <v>1</v>
      </c>
      <c r="B44" t="str">
        <f>IFERROR((_xlfn.XLOOKUP(A44,Diretriz!A:A,Diretriz!B:B)),"")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44" s="2" t="s">
        <v>4</v>
      </c>
      <c r="D44" t="str">
        <f>IFERROR((_xlfn.XLOOKUP(C44,Objetivo!C:C,Objetivo!D:D)), "")</f>
        <v>Fortalecer a Atenção Primária para apoiar o desenvolvimento de ações em saúde no estado.</v>
      </c>
      <c r="E44" s="20" t="s">
        <v>41</v>
      </c>
      <c r="F44" s="19" t="str">
        <f>IFERROR(_xlfn.XLOOKUP(E44,#REF!,#REF!), "")</f>
        <v/>
      </c>
      <c r="G44" s="20" t="s">
        <v>443</v>
      </c>
      <c r="H44" t="s">
        <v>161</v>
      </c>
      <c r="I44" s="6" t="s">
        <v>718</v>
      </c>
      <c r="J44" s="6" t="s">
        <v>751</v>
      </c>
      <c r="K44" s="6">
        <v>58</v>
      </c>
    </row>
    <row r="45" spans="1:11" x14ac:dyDescent="0.25">
      <c r="A45" s="2">
        <v>1</v>
      </c>
      <c r="B45" t="str">
        <f>IFERROR((_xlfn.XLOOKUP(A45,Diretriz!A:A,Diretriz!B:B)),"")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45" s="2" t="s">
        <v>4</v>
      </c>
      <c r="D45" t="str">
        <f>IFERROR((_xlfn.XLOOKUP(C45,Objetivo!C:C,Objetivo!D:D)), "")</f>
        <v>Fortalecer a Atenção Primária para apoiar o desenvolvimento de ações em saúde no estado.</v>
      </c>
      <c r="E45" s="20" t="s">
        <v>41</v>
      </c>
      <c r="F45" s="19" t="str">
        <f>IFERROR(_xlfn.XLOOKUP(E45,#REF!,#REF!), "")</f>
        <v/>
      </c>
      <c r="G45" s="20" t="s">
        <v>444</v>
      </c>
      <c r="H45" t="s">
        <v>162</v>
      </c>
      <c r="I45" s="6" t="s">
        <v>718</v>
      </c>
      <c r="J45" s="6" t="s">
        <v>751</v>
      </c>
      <c r="K45" s="6">
        <v>58</v>
      </c>
    </row>
    <row r="46" spans="1:11" x14ac:dyDescent="0.25">
      <c r="A46" s="2">
        <v>1</v>
      </c>
      <c r="B46" t="str">
        <f>IFERROR((_xlfn.XLOOKUP(A46,Diretriz!A:A,Diretriz!B:B)),"")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46" s="2" t="s">
        <v>4</v>
      </c>
      <c r="D46" t="str">
        <f>IFERROR((_xlfn.XLOOKUP(C46,Objetivo!C:C,Objetivo!D:D)), "")</f>
        <v>Fortalecer a Atenção Primária para apoiar o desenvolvimento de ações em saúde no estado.</v>
      </c>
      <c r="E46" s="20" t="s">
        <v>41</v>
      </c>
      <c r="F46" s="19" t="str">
        <f>IFERROR(_xlfn.XLOOKUP(E46,#REF!,#REF!), "")</f>
        <v/>
      </c>
      <c r="G46" s="20" t="s">
        <v>445</v>
      </c>
      <c r="H46" t="s">
        <v>163</v>
      </c>
      <c r="I46" s="6" t="s">
        <v>721</v>
      </c>
      <c r="J46" s="6" t="s">
        <v>751</v>
      </c>
      <c r="K46" s="6">
        <v>5</v>
      </c>
    </row>
    <row r="47" spans="1:11" x14ac:dyDescent="0.25">
      <c r="A47" s="2">
        <v>1</v>
      </c>
      <c r="B47" t="str">
        <f>IFERROR((_xlfn.XLOOKUP(A47,Diretriz!A:A,Diretriz!B:B)),"")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47" s="2" t="s">
        <v>4</v>
      </c>
      <c r="D47" t="str">
        <f>IFERROR((_xlfn.XLOOKUP(C47,Objetivo!C:C,Objetivo!D:D)), "")</f>
        <v>Fortalecer a Atenção Primária para apoiar o desenvolvimento de ações em saúde no estado.</v>
      </c>
      <c r="E47" s="20" t="s">
        <v>42</v>
      </c>
      <c r="F47" s="19" t="str">
        <f>IFERROR(_xlfn.XLOOKUP(E47,#REF!,#REF!), "")</f>
        <v/>
      </c>
      <c r="G47" s="20" t="s">
        <v>446</v>
      </c>
      <c r="H47" t="s">
        <v>164</v>
      </c>
      <c r="I47" s="6" t="s">
        <v>721</v>
      </c>
      <c r="J47" s="6" t="s">
        <v>751</v>
      </c>
      <c r="K47" s="6">
        <v>5</v>
      </c>
    </row>
    <row r="48" spans="1:11" x14ac:dyDescent="0.25">
      <c r="A48" s="2">
        <v>1</v>
      </c>
      <c r="B48" t="str">
        <f>IFERROR((_xlfn.XLOOKUP(A48,Diretriz!A:A,Diretriz!B:B)),"")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48" s="2" t="s">
        <v>4</v>
      </c>
      <c r="D48" t="str">
        <f>IFERROR((_xlfn.XLOOKUP(C48,Objetivo!C:C,Objetivo!D:D)), "")</f>
        <v>Fortalecer a Atenção Primária para apoiar o desenvolvimento de ações em saúde no estado.</v>
      </c>
      <c r="E48" s="20" t="s">
        <v>42</v>
      </c>
      <c r="F48" s="19" t="str">
        <f>IFERROR(_xlfn.XLOOKUP(E48,#REF!,#REF!), "")</f>
        <v/>
      </c>
      <c r="G48" s="20" t="s">
        <v>447</v>
      </c>
      <c r="H48" t="s">
        <v>165</v>
      </c>
      <c r="I48" s="6" t="s">
        <v>721</v>
      </c>
      <c r="J48" s="6" t="s">
        <v>751</v>
      </c>
      <c r="K48" s="6">
        <v>57</v>
      </c>
    </row>
    <row r="49" spans="1:11" x14ac:dyDescent="0.25">
      <c r="A49" s="2">
        <v>1</v>
      </c>
      <c r="B49" t="str">
        <f>IFERROR((_xlfn.XLOOKUP(A49,Diretriz!A:A,Diretriz!B:B)),"")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49" s="2" t="s">
        <v>4</v>
      </c>
      <c r="D49" t="str">
        <f>IFERROR((_xlfn.XLOOKUP(C49,Objetivo!C:C,Objetivo!D:D)), "")</f>
        <v>Fortalecer a Atenção Primária para apoiar o desenvolvimento de ações em saúde no estado.</v>
      </c>
      <c r="E49" s="20" t="s">
        <v>42</v>
      </c>
      <c r="F49" s="19" t="str">
        <f>IFERROR(_xlfn.XLOOKUP(E49,#REF!,#REF!), "")</f>
        <v/>
      </c>
      <c r="G49" s="20" t="s">
        <v>448</v>
      </c>
      <c r="H49" t="s">
        <v>166</v>
      </c>
      <c r="I49" s="6" t="s">
        <v>721</v>
      </c>
      <c r="J49" s="6" t="s">
        <v>751</v>
      </c>
      <c r="K49" s="6">
        <v>57</v>
      </c>
    </row>
    <row r="50" spans="1:11" x14ac:dyDescent="0.25">
      <c r="A50" s="2">
        <v>1</v>
      </c>
      <c r="B50" t="str">
        <f>IFERROR((_xlfn.XLOOKUP(A50,Diretriz!A:A,Diretriz!B:B)),"")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50" s="2" t="s">
        <v>4</v>
      </c>
      <c r="D50" t="str">
        <f>IFERROR((_xlfn.XLOOKUP(C50,Objetivo!C:C,Objetivo!D:D)), "")</f>
        <v>Fortalecer a Atenção Primária para apoiar o desenvolvimento de ações em saúde no estado.</v>
      </c>
      <c r="E50" s="20" t="s">
        <v>42</v>
      </c>
      <c r="F50" s="19" t="str">
        <f>IFERROR(_xlfn.XLOOKUP(E50,#REF!,#REF!), "")</f>
        <v/>
      </c>
      <c r="G50" s="20" t="s">
        <v>449</v>
      </c>
      <c r="H50" t="s">
        <v>167</v>
      </c>
      <c r="I50" s="6" t="s">
        <v>721</v>
      </c>
      <c r="J50" s="6" t="s">
        <v>751</v>
      </c>
      <c r="K50" s="6">
        <v>57</v>
      </c>
    </row>
    <row r="51" spans="1:11" x14ac:dyDescent="0.25">
      <c r="A51" s="2">
        <v>1</v>
      </c>
      <c r="B51" t="str">
        <f>IFERROR((_xlfn.XLOOKUP(A51,Diretriz!A:A,Diretriz!B:B)),"")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51" s="2" t="s">
        <v>4</v>
      </c>
      <c r="D51" t="str">
        <f>IFERROR((_xlfn.XLOOKUP(C51,Objetivo!C:C,Objetivo!D:D)), "")</f>
        <v>Fortalecer a Atenção Primária para apoiar o desenvolvimento de ações em saúde no estado.</v>
      </c>
      <c r="E51" s="20" t="s">
        <v>42</v>
      </c>
      <c r="F51" s="19" t="str">
        <f>IFERROR(_xlfn.XLOOKUP(E51,#REF!,#REF!), "")</f>
        <v/>
      </c>
      <c r="G51" s="20" t="s">
        <v>450</v>
      </c>
      <c r="H51" t="s">
        <v>168</v>
      </c>
      <c r="I51" s="6" t="s">
        <v>721</v>
      </c>
      <c r="J51" s="6" t="s">
        <v>751</v>
      </c>
      <c r="K51" s="6">
        <v>57</v>
      </c>
    </row>
    <row r="52" spans="1:11" x14ac:dyDescent="0.25">
      <c r="A52" s="2">
        <v>1</v>
      </c>
      <c r="B52" t="str">
        <f>IFERROR((_xlfn.XLOOKUP(A52,Diretriz!A:A,Diretriz!B:B)),"")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52" s="2" t="s">
        <v>4</v>
      </c>
      <c r="D52" t="str">
        <f>IFERROR((_xlfn.XLOOKUP(C52,Objetivo!C:C,Objetivo!D:D)), "")</f>
        <v>Fortalecer a Atenção Primária para apoiar o desenvolvimento de ações em saúde no estado.</v>
      </c>
      <c r="E52" s="20" t="s">
        <v>42</v>
      </c>
      <c r="F52" s="19" t="str">
        <f>IFERROR(_xlfn.XLOOKUP(E52,#REF!,#REF!), "")</f>
        <v/>
      </c>
      <c r="G52" s="20" t="s">
        <v>446</v>
      </c>
      <c r="H52" t="s">
        <v>169</v>
      </c>
      <c r="I52" s="6" t="s">
        <v>721</v>
      </c>
      <c r="J52" s="6" t="s">
        <v>751</v>
      </c>
      <c r="K52" s="6">
        <v>57</v>
      </c>
    </row>
    <row r="53" spans="1:11" x14ac:dyDescent="0.25">
      <c r="A53" s="2">
        <v>1</v>
      </c>
      <c r="B53" t="str">
        <f>IFERROR((_xlfn.XLOOKUP(A53,Diretriz!A:A,Diretriz!B:B)),"")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53" s="2" t="s">
        <v>4</v>
      </c>
      <c r="D53" t="str">
        <f>IFERROR((_xlfn.XLOOKUP(C53,Objetivo!C:C,Objetivo!D:D)), "")</f>
        <v>Fortalecer a Atenção Primária para apoiar o desenvolvimento de ações em saúde no estado.</v>
      </c>
      <c r="E53" s="20" t="s">
        <v>42</v>
      </c>
      <c r="F53" s="19" t="str">
        <f>IFERROR(_xlfn.XLOOKUP(E53,#REF!,#REF!), "")</f>
        <v/>
      </c>
      <c r="G53" s="20" t="s">
        <v>451</v>
      </c>
      <c r="H53" t="s">
        <v>170</v>
      </c>
      <c r="I53" s="6" t="s">
        <v>721</v>
      </c>
      <c r="J53" s="6" t="s">
        <v>751</v>
      </c>
      <c r="K53" s="6">
        <v>57</v>
      </c>
    </row>
    <row r="54" spans="1:11" x14ac:dyDescent="0.25">
      <c r="A54" s="2">
        <v>1</v>
      </c>
      <c r="B54" t="str">
        <f>IFERROR((_xlfn.XLOOKUP(A54,Diretriz!A:A,Diretriz!B:B)),"")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54" s="2" t="s">
        <v>4</v>
      </c>
      <c r="D54" t="str">
        <f>IFERROR((_xlfn.XLOOKUP(C54,Objetivo!C:C,Objetivo!D:D)), "")</f>
        <v>Fortalecer a Atenção Primária para apoiar o desenvolvimento de ações em saúde no estado.</v>
      </c>
      <c r="E54" s="20" t="s">
        <v>43</v>
      </c>
      <c r="F54" s="19" t="str">
        <f>IFERROR(_xlfn.XLOOKUP(E54,#REF!,#REF!), "")</f>
        <v/>
      </c>
      <c r="G54" s="20" t="s">
        <v>452</v>
      </c>
      <c r="H54" t="s">
        <v>171</v>
      </c>
      <c r="I54" s="6" t="s">
        <v>722</v>
      </c>
      <c r="J54" s="6" t="s">
        <v>751</v>
      </c>
      <c r="K54" s="6">
        <v>19</v>
      </c>
    </row>
    <row r="55" spans="1:11" x14ac:dyDescent="0.25">
      <c r="A55" s="2">
        <v>1</v>
      </c>
      <c r="B55" t="str">
        <f>IFERROR((_xlfn.XLOOKUP(A55,Diretriz!A:A,Diretriz!B:B)),"")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55" s="2" t="s">
        <v>4</v>
      </c>
      <c r="D55" t="str">
        <f>IFERROR((_xlfn.XLOOKUP(C55,Objetivo!C:C,Objetivo!D:D)), "")</f>
        <v>Fortalecer a Atenção Primária para apoiar o desenvolvimento de ações em saúde no estado.</v>
      </c>
      <c r="E55" s="20" t="s">
        <v>43</v>
      </c>
      <c r="F55" s="19" t="str">
        <f>IFERROR(_xlfn.XLOOKUP(E55,#REF!,#REF!), "")</f>
        <v/>
      </c>
      <c r="G55" s="20" t="s">
        <v>453</v>
      </c>
      <c r="H55" t="s">
        <v>172</v>
      </c>
      <c r="I55" s="6" t="s">
        <v>718</v>
      </c>
      <c r="J55" s="6" t="s">
        <v>751</v>
      </c>
      <c r="K55" s="6">
        <v>217</v>
      </c>
    </row>
    <row r="56" spans="1:11" x14ac:dyDescent="0.25">
      <c r="A56" s="2">
        <v>1</v>
      </c>
      <c r="B56" t="str">
        <f>IFERROR((_xlfn.XLOOKUP(A56,Diretriz!A:A,Diretriz!B:B)),"")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56" s="2" t="s">
        <v>4</v>
      </c>
      <c r="D56" t="str">
        <f>IFERROR((_xlfn.XLOOKUP(C56,Objetivo!C:C,Objetivo!D:D)), "")</f>
        <v>Fortalecer a Atenção Primária para apoiar o desenvolvimento de ações em saúde no estado.</v>
      </c>
      <c r="E56" s="20" t="s">
        <v>43</v>
      </c>
      <c r="F56" s="19" t="str">
        <f>IFERROR(_xlfn.XLOOKUP(E56,#REF!,#REF!), "")</f>
        <v/>
      </c>
      <c r="G56" s="20" t="s">
        <v>454</v>
      </c>
      <c r="H56" t="s">
        <v>173</v>
      </c>
      <c r="I56" s="6" t="s">
        <v>718</v>
      </c>
      <c r="J56" s="6" t="s">
        <v>751</v>
      </c>
      <c r="K56" s="6">
        <v>55</v>
      </c>
    </row>
    <row r="57" spans="1:11" x14ac:dyDescent="0.25">
      <c r="A57" s="2">
        <v>1</v>
      </c>
      <c r="B57" t="str">
        <f>IFERROR((_xlfn.XLOOKUP(A57,Diretriz!A:A,Diretriz!B:B)),"")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57" s="2" t="s">
        <v>4</v>
      </c>
      <c r="D57" t="str">
        <f>IFERROR((_xlfn.XLOOKUP(C57,Objetivo!C:C,Objetivo!D:D)), "")</f>
        <v>Fortalecer a Atenção Primária para apoiar o desenvolvimento de ações em saúde no estado.</v>
      </c>
      <c r="E57" s="20" t="s">
        <v>43</v>
      </c>
      <c r="F57" s="19" t="str">
        <f>IFERROR(_xlfn.XLOOKUP(E57,#REF!,#REF!), "")</f>
        <v/>
      </c>
      <c r="G57" s="20" t="s">
        <v>455</v>
      </c>
      <c r="H57" t="s">
        <v>174</v>
      </c>
      <c r="I57" s="6" t="s">
        <v>718</v>
      </c>
      <c r="J57" s="6" t="s">
        <v>751</v>
      </c>
      <c r="K57" s="6">
        <v>55</v>
      </c>
    </row>
    <row r="58" spans="1:11" x14ac:dyDescent="0.25">
      <c r="A58" s="2">
        <v>1</v>
      </c>
      <c r="B58" t="str">
        <f>IFERROR((_xlfn.XLOOKUP(A58,Diretriz!A:A,Diretriz!B:B)),"")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58" s="2" t="s">
        <v>4</v>
      </c>
      <c r="D58" t="str">
        <f>IFERROR((_xlfn.XLOOKUP(C58,Objetivo!C:C,Objetivo!D:D)), "")</f>
        <v>Fortalecer a Atenção Primária para apoiar o desenvolvimento de ações em saúde no estado.</v>
      </c>
      <c r="E58" s="20" t="s">
        <v>43</v>
      </c>
      <c r="F58" s="19" t="str">
        <f>IFERROR(_xlfn.XLOOKUP(E58,#REF!,#REF!), "")</f>
        <v/>
      </c>
      <c r="G58" s="20" t="s">
        <v>456</v>
      </c>
      <c r="H58" t="s">
        <v>175</v>
      </c>
      <c r="I58" s="6" t="s">
        <v>718</v>
      </c>
      <c r="J58" s="6" t="s">
        <v>751</v>
      </c>
      <c r="K58" s="6">
        <v>100</v>
      </c>
    </row>
    <row r="59" spans="1:11" x14ac:dyDescent="0.25">
      <c r="A59" s="2">
        <v>1</v>
      </c>
      <c r="B59" t="str">
        <f>IFERROR((_xlfn.XLOOKUP(A59,Diretriz!A:A,Diretriz!B:B)),"")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59" s="2" t="s">
        <v>4</v>
      </c>
      <c r="D59" t="str">
        <f>IFERROR((_xlfn.XLOOKUP(C59,Objetivo!C:C,Objetivo!D:D)), "")</f>
        <v>Fortalecer a Atenção Primária para apoiar o desenvolvimento de ações em saúde no estado.</v>
      </c>
      <c r="E59" s="20" t="s">
        <v>44</v>
      </c>
      <c r="F59" s="19" t="str">
        <f>IFERROR(_xlfn.XLOOKUP(E59,#REF!,#REF!), "")</f>
        <v/>
      </c>
      <c r="G59" s="20" t="s">
        <v>457</v>
      </c>
      <c r="H59" t="s">
        <v>176</v>
      </c>
      <c r="I59" s="6" t="s">
        <v>718</v>
      </c>
      <c r="J59" s="6" t="s">
        <v>751</v>
      </c>
      <c r="K59" s="6">
        <v>50</v>
      </c>
    </row>
    <row r="60" spans="1:11" x14ac:dyDescent="0.25">
      <c r="A60" s="2">
        <v>1</v>
      </c>
      <c r="B60" t="str">
        <f>IFERROR((_xlfn.XLOOKUP(A60,Diretriz!A:A,Diretriz!B:B)),"")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60" s="2" t="s">
        <v>4</v>
      </c>
      <c r="D60" t="str">
        <f>IFERROR((_xlfn.XLOOKUP(C60,Objetivo!C:C,Objetivo!D:D)), "")</f>
        <v>Fortalecer a Atenção Primária para apoiar o desenvolvimento de ações em saúde no estado.</v>
      </c>
      <c r="E60" s="20" t="s">
        <v>44</v>
      </c>
      <c r="F60" s="19" t="str">
        <f>IFERROR(_xlfn.XLOOKUP(E60,#REF!,#REF!), "")</f>
        <v/>
      </c>
      <c r="G60" s="20" t="s">
        <v>458</v>
      </c>
      <c r="H60" t="s">
        <v>177</v>
      </c>
      <c r="I60" s="6" t="s">
        <v>718</v>
      </c>
      <c r="J60" s="6" t="s">
        <v>751</v>
      </c>
      <c r="K60" s="6">
        <v>50</v>
      </c>
    </row>
    <row r="61" spans="1:11" x14ac:dyDescent="0.25">
      <c r="A61" s="2">
        <v>1</v>
      </c>
      <c r="B61" t="str">
        <f>IFERROR((_xlfn.XLOOKUP(A61,Diretriz!A:A,Diretriz!B:B)),"")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61" s="2" t="s">
        <v>4</v>
      </c>
      <c r="D61" t="str">
        <f>IFERROR((_xlfn.XLOOKUP(C61,Objetivo!C:C,Objetivo!D:D)), "")</f>
        <v>Fortalecer a Atenção Primária para apoiar o desenvolvimento de ações em saúde no estado.</v>
      </c>
      <c r="E61" s="20" t="s">
        <v>44</v>
      </c>
      <c r="F61" s="19" t="str">
        <f>IFERROR(_xlfn.XLOOKUP(E61,#REF!,#REF!), "")</f>
        <v/>
      </c>
      <c r="G61" s="20" t="s">
        <v>459</v>
      </c>
      <c r="H61" t="s">
        <v>178</v>
      </c>
      <c r="I61" s="6" t="s">
        <v>718</v>
      </c>
      <c r="J61" s="6" t="s">
        <v>751</v>
      </c>
      <c r="K61" s="6">
        <v>35</v>
      </c>
    </row>
    <row r="62" spans="1:11" x14ac:dyDescent="0.25">
      <c r="A62" s="2">
        <v>1</v>
      </c>
      <c r="B62" t="str">
        <f>IFERROR((_xlfn.XLOOKUP(A62,Diretriz!A:A,Diretriz!B:B)),"")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62" s="2" t="s">
        <v>4</v>
      </c>
      <c r="D62" t="str">
        <f>IFERROR((_xlfn.XLOOKUP(C62,Objetivo!C:C,Objetivo!D:D)), "")</f>
        <v>Fortalecer a Atenção Primária para apoiar o desenvolvimento de ações em saúde no estado.</v>
      </c>
      <c r="E62" s="20" t="s">
        <v>45</v>
      </c>
      <c r="F62" s="19" t="str">
        <f>IFERROR(_xlfn.XLOOKUP(E62,#REF!,#REF!), "")</f>
        <v/>
      </c>
      <c r="G62" s="20" t="s">
        <v>460</v>
      </c>
      <c r="H62" t="s">
        <v>179</v>
      </c>
      <c r="I62" t="s">
        <v>971</v>
      </c>
      <c r="J62" t="s">
        <v>971</v>
      </c>
      <c r="K62" t="s">
        <v>971</v>
      </c>
    </row>
    <row r="63" spans="1:11" x14ac:dyDescent="0.25">
      <c r="A63" s="2">
        <v>1</v>
      </c>
      <c r="B63" t="str">
        <f>IFERROR((_xlfn.XLOOKUP(A63,Diretriz!A:A,Diretriz!B:B)),"")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63" s="2" t="s">
        <v>4</v>
      </c>
      <c r="D63" t="str">
        <f>IFERROR((_xlfn.XLOOKUP(C63,Objetivo!C:C,Objetivo!D:D)), "")</f>
        <v>Fortalecer a Atenção Primária para apoiar o desenvolvimento de ações em saúde no estado.</v>
      </c>
      <c r="E63" s="20" t="s">
        <v>45</v>
      </c>
      <c r="F63" s="19" t="str">
        <f>IFERROR(_xlfn.XLOOKUP(E63,#REF!,#REF!), "")</f>
        <v/>
      </c>
      <c r="G63" s="20" t="s">
        <v>461</v>
      </c>
      <c r="H63" t="s">
        <v>180</v>
      </c>
      <c r="I63" t="s">
        <v>971</v>
      </c>
      <c r="J63" t="s">
        <v>971</v>
      </c>
      <c r="K63" t="s">
        <v>971</v>
      </c>
    </row>
    <row r="64" spans="1:11" x14ac:dyDescent="0.25">
      <c r="A64" s="2">
        <v>1</v>
      </c>
      <c r="B64" t="str">
        <f>IFERROR((_xlfn.XLOOKUP(A64,Diretriz!A:A,Diretriz!B:B)),"")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64" s="2" t="s">
        <v>4</v>
      </c>
      <c r="D64" t="str">
        <f>IFERROR((_xlfn.XLOOKUP(C64,Objetivo!C:C,Objetivo!D:D)), "")</f>
        <v>Fortalecer a Atenção Primária para apoiar o desenvolvimento de ações em saúde no estado.</v>
      </c>
      <c r="E64" s="20" t="s">
        <v>45</v>
      </c>
      <c r="F64" s="19" t="str">
        <f>IFERROR(_xlfn.XLOOKUP(E64,#REF!,#REF!), "")</f>
        <v/>
      </c>
      <c r="G64" s="20" t="s">
        <v>462</v>
      </c>
      <c r="H64" t="s">
        <v>181</v>
      </c>
      <c r="I64" t="s">
        <v>971</v>
      </c>
      <c r="J64" t="s">
        <v>971</v>
      </c>
      <c r="K64" t="s">
        <v>971</v>
      </c>
    </row>
    <row r="65" spans="1:11" x14ac:dyDescent="0.25">
      <c r="A65" s="2">
        <v>1</v>
      </c>
      <c r="B65" t="str">
        <f>IFERROR((_xlfn.XLOOKUP(A65,Diretriz!A:A,Diretriz!B:B)),"")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65" s="2" t="s">
        <v>4</v>
      </c>
      <c r="D65" t="str">
        <f>IFERROR((_xlfn.XLOOKUP(C65,Objetivo!C:C,Objetivo!D:D)), "")</f>
        <v>Fortalecer a Atenção Primária para apoiar o desenvolvimento de ações em saúde no estado.</v>
      </c>
      <c r="E65" s="20" t="s">
        <v>45</v>
      </c>
      <c r="F65" s="19" t="str">
        <f>IFERROR(_xlfn.XLOOKUP(E65,#REF!,#REF!), "")</f>
        <v/>
      </c>
      <c r="G65" s="20" t="s">
        <v>463</v>
      </c>
      <c r="H65" t="s">
        <v>182</v>
      </c>
      <c r="I65" t="s">
        <v>971</v>
      </c>
      <c r="J65" t="s">
        <v>971</v>
      </c>
      <c r="K65" t="s">
        <v>971</v>
      </c>
    </row>
    <row r="66" spans="1:11" x14ac:dyDescent="0.25">
      <c r="A66" s="2">
        <v>1</v>
      </c>
      <c r="B66" t="str">
        <f>IFERROR((_xlfn.XLOOKUP(A66,Diretriz!A:A,Diretriz!B:B)),"")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66" s="2" t="s">
        <v>4</v>
      </c>
      <c r="D66" t="str">
        <f>IFERROR((_xlfn.XLOOKUP(C66,Objetivo!C:C,Objetivo!D:D)), "")</f>
        <v>Fortalecer a Atenção Primária para apoiar o desenvolvimento de ações em saúde no estado.</v>
      </c>
      <c r="E66" s="20" t="s">
        <v>46</v>
      </c>
      <c r="F66" s="19" t="str">
        <f>IFERROR(_xlfn.XLOOKUP(E66,#REF!,#REF!), "")</f>
        <v/>
      </c>
      <c r="G66" s="20" t="s">
        <v>464</v>
      </c>
      <c r="H66" t="s">
        <v>183</v>
      </c>
      <c r="I66" s="6" t="s">
        <v>718</v>
      </c>
      <c r="J66" s="6" t="s">
        <v>751</v>
      </c>
      <c r="K66" s="6">
        <v>57</v>
      </c>
    </row>
    <row r="67" spans="1:11" x14ac:dyDescent="0.25">
      <c r="A67" s="2">
        <v>1</v>
      </c>
      <c r="B67" t="str">
        <f>IFERROR((_xlfn.XLOOKUP(A67,Diretriz!A:A,Diretriz!B:B)),"")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67" s="2" t="s">
        <v>4</v>
      </c>
      <c r="D67" t="str">
        <f>IFERROR((_xlfn.XLOOKUP(C67,Objetivo!C:C,Objetivo!D:D)), "")</f>
        <v>Fortalecer a Atenção Primária para apoiar o desenvolvimento de ações em saúde no estado.</v>
      </c>
      <c r="E67" s="20" t="s">
        <v>46</v>
      </c>
      <c r="F67" s="19" t="str">
        <f>IFERROR(_xlfn.XLOOKUP(E67,#REF!,#REF!), "")</f>
        <v/>
      </c>
      <c r="G67" s="20" t="s">
        <v>465</v>
      </c>
      <c r="H67" t="s">
        <v>184</v>
      </c>
      <c r="I67" s="6" t="s">
        <v>718</v>
      </c>
      <c r="J67" s="6" t="s">
        <v>751</v>
      </c>
      <c r="K67" s="6">
        <v>57</v>
      </c>
    </row>
    <row r="68" spans="1:11" x14ac:dyDescent="0.25">
      <c r="A68" s="2">
        <v>1</v>
      </c>
      <c r="B68" t="str">
        <f>IFERROR((_xlfn.XLOOKUP(A68,Diretriz!A:A,Diretriz!B:B)),"")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68" s="2" t="s">
        <v>4</v>
      </c>
      <c r="D68" t="str">
        <f>IFERROR((_xlfn.XLOOKUP(C68,Objetivo!C:C,Objetivo!D:D)), "")</f>
        <v>Fortalecer a Atenção Primária para apoiar o desenvolvimento de ações em saúde no estado.</v>
      </c>
      <c r="E68" s="20" t="s">
        <v>46</v>
      </c>
      <c r="F68" s="19" t="str">
        <f>IFERROR(_xlfn.XLOOKUP(E68,#REF!,#REF!), "")</f>
        <v/>
      </c>
      <c r="G68" s="20" t="s">
        <v>466</v>
      </c>
      <c r="H68" t="s">
        <v>185</v>
      </c>
      <c r="I68" s="6" t="s">
        <v>718</v>
      </c>
      <c r="J68" s="6" t="s">
        <v>751</v>
      </c>
      <c r="K68" s="6">
        <v>57</v>
      </c>
    </row>
    <row r="69" spans="1:11" x14ac:dyDescent="0.25">
      <c r="A69" s="2">
        <v>1</v>
      </c>
      <c r="B69" t="str">
        <f>IFERROR((_xlfn.XLOOKUP(A69,Diretriz!A:A,Diretriz!B:B)),"")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69" s="2" t="s">
        <v>4</v>
      </c>
      <c r="D69" t="str">
        <f>IFERROR((_xlfn.XLOOKUP(C69,Objetivo!C:C,Objetivo!D:D)), "")</f>
        <v>Fortalecer a Atenção Primária para apoiar o desenvolvimento de ações em saúde no estado.</v>
      </c>
      <c r="E69" s="20" t="s">
        <v>47</v>
      </c>
      <c r="F69" s="19" t="str">
        <f>IFERROR(_xlfn.XLOOKUP(E69,#REF!,#REF!), "")</f>
        <v/>
      </c>
      <c r="G69" s="20" t="s">
        <v>467</v>
      </c>
      <c r="H69" t="s">
        <v>186</v>
      </c>
      <c r="I69" s="6" t="s">
        <v>718</v>
      </c>
      <c r="J69" s="6" t="s">
        <v>751</v>
      </c>
      <c r="K69" s="6">
        <v>217</v>
      </c>
    </row>
    <row r="70" spans="1:11" x14ac:dyDescent="0.25">
      <c r="A70" s="2">
        <v>1</v>
      </c>
      <c r="B70" t="str">
        <f>IFERROR((_xlfn.XLOOKUP(A70,Diretriz!A:A,Diretriz!B:B)),"")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70" s="2" t="s">
        <v>4</v>
      </c>
      <c r="D70" t="str">
        <f>IFERROR((_xlfn.XLOOKUP(C70,Objetivo!C:C,Objetivo!D:D)), "")</f>
        <v>Fortalecer a Atenção Primária para apoiar o desenvolvimento de ações em saúde no estado.</v>
      </c>
      <c r="E70" s="20" t="s">
        <v>47</v>
      </c>
      <c r="F70" s="19" t="str">
        <f>IFERROR(_xlfn.XLOOKUP(E70,#REF!,#REF!), "")</f>
        <v/>
      </c>
      <c r="G70" s="20" t="s">
        <v>468</v>
      </c>
      <c r="H70" t="s">
        <v>187</v>
      </c>
      <c r="I70" s="6" t="s">
        <v>718</v>
      </c>
      <c r="J70" s="6" t="s">
        <v>751</v>
      </c>
      <c r="K70" s="6">
        <v>217</v>
      </c>
    </row>
    <row r="71" spans="1:11" x14ac:dyDescent="0.25">
      <c r="A71" s="2">
        <v>1</v>
      </c>
      <c r="B71" t="str">
        <f>IFERROR((_xlfn.XLOOKUP(A71,Diretriz!A:A,Diretriz!B:B)),"")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71" s="2" t="s">
        <v>4</v>
      </c>
      <c r="D71" t="str">
        <f>IFERROR((_xlfn.XLOOKUP(C71,Objetivo!C:C,Objetivo!D:D)), "")</f>
        <v>Fortalecer a Atenção Primária para apoiar o desenvolvimento de ações em saúde no estado.</v>
      </c>
      <c r="E71" s="20" t="s">
        <v>47</v>
      </c>
      <c r="F71" s="19" t="str">
        <f>IFERROR(_xlfn.XLOOKUP(E71,#REF!,#REF!), "")</f>
        <v/>
      </c>
      <c r="G71" s="20" t="s">
        <v>469</v>
      </c>
      <c r="H71" t="s">
        <v>188</v>
      </c>
      <c r="I71" s="6" t="s">
        <v>718</v>
      </c>
      <c r="J71" s="6" t="s">
        <v>751</v>
      </c>
      <c r="K71" s="6">
        <v>19</v>
      </c>
    </row>
    <row r="72" spans="1:11" x14ac:dyDescent="0.25">
      <c r="A72" s="2">
        <v>1</v>
      </c>
      <c r="B72" t="str">
        <f>IFERROR((_xlfn.XLOOKUP(A72,Diretriz!A:A,Diretriz!B:B)),"")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72" s="2" t="s">
        <v>4</v>
      </c>
      <c r="D72" t="str">
        <f>IFERROR((_xlfn.XLOOKUP(C72,Objetivo!C:C,Objetivo!D:D)), "")</f>
        <v>Fortalecer a Atenção Primária para apoiar o desenvolvimento de ações em saúde no estado.</v>
      </c>
      <c r="E72" s="20" t="s">
        <v>47</v>
      </c>
      <c r="F72" s="19" t="str">
        <f>IFERROR(_xlfn.XLOOKUP(E72,#REF!,#REF!), "")</f>
        <v/>
      </c>
      <c r="G72" s="20" t="s">
        <v>470</v>
      </c>
      <c r="H72" t="s">
        <v>189</v>
      </c>
      <c r="I72" s="6" t="s">
        <v>718</v>
      </c>
      <c r="J72" s="6" t="s">
        <v>751</v>
      </c>
      <c r="K72" s="6">
        <v>43</v>
      </c>
    </row>
    <row r="73" spans="1:11" x14ac:dyDescent="0.25">
      <c r="A73" s="2">
        <v>1</v>
      </c>
      <c r="B73" t="str">
        <f>IFERROR((_xlfn.XLOOKUP(A73,Diretriz!A:A,Diretriz!B:B)),"")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73" s="2" t="s">
        <v>5</v>
      </c>
      <c r="D73" t="str">
        <f>IFERROR((_xlfn.XLOOKUP(C73,Objetivo!C:C,Objetivo!D:D)), "")</f>
        <v>Aprimorar as ações de Vigilância em Saúde para promoção, prevenção e controle de doenças e agravos.</v>
      </c>
      <c r="E73" s="20" t="s">
        <v>48</v>
      </c>
      <c r="F73" s="19" t="str">
        <f>IFERROR(_xlfn.XLOOKUP(E73,#REF!,#REF!), "")</f>
        <v/>
      </c>
      <c r="G73" s="20" t="s">
        <v>471</v>
      </c>
      <c r="H73" t="s">
        <v>190</v>
      </c>
      <c r="I73" s="6" t="s">
        <v>723</v>
      </c>
      <c r="J73" s="6" t="s">
        <v>751</v>
      </c>
      <c r="K73" s="6">
        <v>243</v>
      </c>
    </row>
    <row r="74" spans="1:11" x14ac:dyDescent="0.25">
      <c r="A74" s="2">
        <v>1</v>
      </c>
      <c r="B74" t="str">
        <f>IFERROR((_xlfn.XLOOKUP(A74,Diretriz!A:A,Diretriz!B:B)),"")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74" s="2" t="s">
        <v>5</v>
      </c>
      <c r="D74" t="str">
        <f>IFERROR((_xlfn.XLOOKUP(C74,Objetivo!C:C,Objetivo!D:D)), "")</f>
        <v>Aprimorar as ações de Vigilância em Saúde para promoção, prevenção e controle de doenças e agravos.</v>
      </c>
      <c r="E74" s="20" t="s">
        <v>48</v>
      </c>
      <c r="F74" s="19" t="str">
        <f>IFERROR(_xlfn.XLOOKUP(E74,#REF!,#REF!), "")</f>
        <v/>
      </c>
      <c r="G74" s="20" t="s">
        <v>472</v>
      </c>
      <c r="H74" t="s">
        <v>191</v>
      </c>
      <c r="I74" s="6" t="s">
        <v>723</v>
      </c>
      <c r="J74" s="6" t="s">
        <v>751</v>
      </c>
      <c r="K74" s="6">
        <v>36</v>
      </c>
    </row>
    <row r="75" spans="1:11" x14ac:dyDescent="0.25">
      <c r="A75" s="2">
        <v>1</v>
      </c>
      <c r="B75" t="str">
        <f>IFERROR((_xlfn.XLOOKUP(A75,Diretriz!A:A,Diretriz!B:B)),"")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75" s="2" t="s">
        <v>5</v>
      </c>
      <c r="D75" t="str">
        <f>IFERROR((_xlfn.XLOOKUP(C75,Objetivo!C:C,Objetivo!D:D)), "")</f>
        <v>Aprimorar as ações de Vigilância em Saúde para promoção, prevenção e controle de doenças e agravos.</v>
      </c>
      <c r="E75" s="20" t="s">
        <v>48</v>
      </c>
      <c r="F75" s="19" t="str">
        <f>IFERROR(_xlfn.XLOOKUP(E75,#REF!,#REF!), "")</f>
        <v/>
      </c>
      <c r="G75" s="20" t="s">
        <v>473</v>
      </c>
      <c r="H75" t="s">
        <v>192</v>
      </c>
      <c r="I75" s="6" t="s">
        <v>723</v>
      </c>
      <c r="J75" s="6" t="s">
        <v>751</v>
      </c>
      <c r="K75" s="6">
        <v>50</v>
      </c>
    </row>
    <row r="76" spans="1:11" x14ac:dyDescent="0.25">
      <c r="A76" s="2">
        <v>1</v>
      </c>
      <c r="B76" t="str">
        <f>IFERROR((_xlfn.XLOOKUP(A76,Diretriz!A:A,Diretriz!B:B)),"")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76" s="2" t="s">
        <v>5</v>
      </c>
      <c r="D76" t="str">
        <f>IFERROR((_xlfn.XLOOKUP(C76,Objetivo!C:C,Objetivo!D:D)), "")</f>
        <v>Aprimorar as ações de Vigilância em Saúde para promoção, prevenção e controle de doenças e agravos.</v>
      </c>
      <c r="E76" s="20" t="s">
        <v>48</v>
      </c>
      <c r="F76" s="19" t="str">
        <f>IFERROR(_xlfn.XLOOKUP(E76,#REF!,#REF!), "")</f>
        <v/>
      </c>
      <c r="G76" s="20" t="s">
        <v>474</v>
      </c>
      <c r="H76" t="s">
        <v>193</v>
      </c>
      <c r="I76" s="6" t="s">
        <v>723</v>
      </c>
      <c r="J76" s="6" t="s">
        <v>751</v>
      </c>
      <c r="K76" s="6">
        <v>30</v>
      </c>
    </row>
    <row r="77" spans="1:11" x14ac:dyDescent="0.25">
      <c r="A77" s="2">
        <v>1</v>
      </c>
      <c r="B77" t="str">
        <f>IFERROR((_xlfn.XLOOKUP(A77,Diretriz!A:A,Diretriz!B:B)),"")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77" s="2" t="s">
        <v>5</v>
      </c>
      <c r="D77" t="str">
        <f>IFERROR((_xlfn.XLOOKUP(C77,Objetivo!C:C,Objetivo!D:D)), "")</f>
        <v>Aprimorar as ações de Vigilância em Saúde para promoção, prevenção e controle de doenças e agravos.</v>
      </c>
      <c r="E77" s="20" t="s">
        <v>48</v>
      </c>
      <c r="F77" s="19" t="str">
        <f>IFERROR(_xlfn.XLOOKUP(E77,#REF!,#REF!), "")</f>
        <v/>
      </c>
      <c r="G77" s="20" t="s">
        <v>475</v>
      </c>
      <c r="H77" t="s">
        <v>194</v>
      </c>
      <c r="I77" s="6" t="s">
        <v>723</v>
      </c>
      <c r="J77" s="6" t="s">
        <v>751</v>
      </c>
      <c r="K77" s="6">
        <v>326</v>
      </c>
    </row>
    <row r="78" spans="1:11" x14ac:dyDescent="0.25">
      <c r="A78" s="2">
        <v>1</v>
      </c>
      <c r="B78" t="str">
        <f>IFERROR((_xlfn.XLOOKUP(A78,Diretriz!A:A,Diretriz!B:B)),"")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78" s="2" t="s">
        <v>5</v>
      </c>
      <c r="D78" t="str">
        <f>IFERROR((_xlfn.XLOOKUP(C78,Objetivo!C:C,Objetivo!D:D)), "")</f>
        <v>Aprimorar as ações de Vigilância em Saúde para promoção, prevenção e controle de doenças e agravos.</v>
      </c>
      <c r="E78" s="20" t="s">
        <v>79</v>
      </c>
      <c r="F78" s="19" t="str">
        <f>IFERROR(_xlfn.XLOOKUP(E78,#REF!,#REF!), "")</f>
        <v/>
      </c>
      <c r="G78" s="20" t="s">
        <v>476</v>
      </c>
      <c r="H78" t="s">
        <v>195</v>
      </c>
      <c r="I78" s="6" t="s">
        <v>723</v>
      </c>
      <c r="J78" s="6" t="s">
        <v>751</v>
      </c>
      <c r="K78" s="6">
        <v>100</v>
      </c>
    </row>
    <row r="79" spans="1:11" x14ac:dyDescent="0.25">
      <c r="A79" s="2">
        <v>1</v>
      </c>
      <c r="B79" t="str">
        <f>IFERROR((_xlfn.XLOOKUP(A79,Diretriz!A:A,Diretriz!B:B)),"")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79" s="2" t="s">
        <v>5</v>
      </c>
      <c r="D79" t="str">
        <f>IFERROR((_xlfn.XLOOKUP(C79,Objetivo!C:C,Objetivo!D:D)), "")</f>
        <v>Aprimorar as ações de Vigilância em Saúde para promoção, prevenção e controle de doenças e agravos.</v>
      </c>
      <c r="E79" s="20" t="s">
        <v>79</v>
      </c>
      <c r="F79" s="19" t="str">
        <f>IFERROR(_xlfn.XLOOKUP(E79,#REF!,#REF!), "")</f>
        <v/>
      </c>
      <c r="G79" s="20" t="s">
        <v>477</v>
      </c>
      <c r="H79" t="s">
        <v>196</v>
      </c>
      <c r="I79" s="6" t="s">
        <v>723</v>
      </c>
      <c r="J79" s="6" t="s">
        <v>751</v>
      </c>
      <c r="K79" s="6">
        <v>80</v>
      </c>
    </row>
    <row r="80" spans="1:11" x14ac:dyDescent="0.25">
      <c r="A80" s="2">
        <v>1</v>
      </c>
      <c r="B80" t="str">
        <f>IFERROR((_xlfn.XLOOKUP(A80,Diretriz!A:A,Diretriz!B:B)),"")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80" s="2" t="s">
        <v>5</v>
      </c>
      <c r="D80" t="str">
        <f>IFERROR((_xlfn.XLOOKUP(C80,Objetivo!C:C,Objetivo!D:D)), "")</f>
        <v>Aprimorar as ações de Vigilância em Saúde para promoção, prevenção e controle de doenças e agravos.</v>
      </c>
      <c r="E80" s="20" t="s">
        <v>79</v>
      </c>
      <c r="F80" s="19" t="str">
        <f>IFERROR(_xlfn.XLOOKUP(E80,#REF!,#REF!), "")</f>
        <v/>
      </c>
      <c r="G80" s="20" t="s">
        <v>478</v>
      </c>
      <c r="H80" t="s">
        <v>197</v>
      </c>
      <c r="I80" s="6" t="s">
        <v>723</v>
      </c>
      <c r="J80" s="6" t="s">
        <v>751</v>
      </c>
      <c r="K80" s="6">
        <v>42</v>
      </c>
    </row>
    <row r="81" spans="1:11" x14ac:dyDescent="0.25">
      <c r="A81" s="2">
        <v>1</v>
      </c>
      <c r="B81" t="str">
        <f>IFERROR((_xlfn.XLOOKUP(A81,Diretriz!A:A,Diretriz!B:B)),"")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81" s="2" t="s">
        <v>5</v>
      </c>
      <c r="D81" t="str">
        <f>IFERROR((_xlfn.XLOOKUP(C81,Objetivo!C:C,Objetivo!D:D)), "")</f>
        <v>Aprimorar as ações de Vigilância em Saúde para promoção, prevenção e controle de doenças e agravos.</v>
      </c>
      <c r="E81" s="20" t="s">
        <v>79</v>
      </c>
      <c r="F81" s="19" t="str">
        <f>IFERROR(_xlfn.XLOOKUP(E81,#REF!,#REF!), "")</f>
        <v/>
      </c>
      <c r="G81" s="20" t="s">
        <v>479</v>
      </c>
      <c r="H81" t="s">
        <v>198</v>
      </c>
      <c r="I81" s="6" t="s">
        <v>723</v>
      </c>
      <c r="J81" s="6" t="s">
        <v>751</v>
      </c>
      <c r="K81" s="6">
        <v>5</v>
      </c>
    </row>
    <row r="82" spans="1:11" x14ac:dyDescent="0.25">
      <c r="A82" s="2">
        <v>1</v>
      </c>
      <c r="B82" t="str">
        <f>IFERROR((_xlfn.XLOOKUP(A82,Diretriz!A:A,Diretriz!B:B)),"")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82" s="2" t="s">
        <v>5</v>
      </c>
      <c r="D82" t="str">
        <f>IFERROR((_xlfn.XLOOKUP(C82,Objetivo!C:C,Objetivo!D:D)), "")</f>
        <v>Aprimorar as ações de Vigilância em Saúde para promoção, prevenção e controle de doenças e agravos.</v>
      </c>
      <c r="E82" s="20" t="s">
        <v>79</v>
      </c>
      <c r="F82" s="19" t="str">
        <f>IFERROR(_xlfn.XLOOKUP(E82,#REF!,#REF!), "")</f>
        <v/>
      </c>
      <c r="G82" s="20" t="s">
        <v>480</v>
      </c>
      <c r="H82" t="s">
        <v>199</v>
      </c>
      <c r="I82" s="6" t="s">
        <v>723</v>
      </c>
      <c r="J82" s="6" t="s">
        <v>751</v>
      </c>
      <c r="K82" s="6">
        <v>70</v>
      </c>
    </row>
    <row r="83" spans="1:11" x14ac:dyDescent="0.25">
      <c r="A83" s="2">
        <v>1</v>
      </c>
      <c r="B83" t="str">
        <f>IFERROR((_xlfn.XLOOKUP(A83,Diretriz!A:A,Diretriz!B:B)),"")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83" s="2" t="s">
        <v>5</v>
      </c>
      <c r="D83" t="str">
        <f>IFERROR((_xlfn.XLOOKUP(C83,Objetivo!C:C,Objetivo!D:D)), "")</f>
        <v>Aprimorar as ações de Vigilância em Saúde para promoção, prevenção e controle de doenças e agravos.</v>
      </c>
      <c r="E83" s="20" t="s">
        <v>79</v>
      </c>
      <c r="F83" s="19" t="str">
        <f>IFERROR(_xlfn.XLOOKUP(E83,#REF!,#REF!), "")</f>
        <v/>
      </c>
      <c r="G83" s="20" t="s">
        <v>481</v>
      </c>
      <c r="H83" t="s">
        <v>200</v>
      </c>
      <c r="I83" s="6" t="s">
        <v>723</v>
      </c>
      <c r="J83" s="6" t="s">
        <v>751</v>
      </c>
      <c r="K83" s="6">
        <v>3</v>
      </c>
    </row>
    <row r="84" spans="1:11" x14ac:dyDescent="0.25">
      <c r="A84" s="2">
        <v>1</v>
      </c>
      <c r="B84" t="str">
        <f>IFERROR((_xlfn.XLOOKUP(A84,Diretriz!A:A,Diretriz!B:B)),"")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84" s="2" t="s">
        <v>5</v>
      </c>
      <c r="D84" t="str">
        <f>IFERROR((_xlfn.XLOOKUP(C84,Objetivo!C:C,Objetivo!D:D)), "")</f>
        <v>Aprimorar as ações de Vigilância em Saúde para promoção, prevenção e controle de doenças e agravos.</v>
      </c>
      <c r="E84" s="20" t="s">
        <v>49</v>
      </c>
      <c r="F84" s="19" t="str">
        <f>IFERROR(_xlfn.XLOOKUP(E84,#REF!,#REF!), "")</f>
        <v/>
      </c>
      <c r="G84" s="20" t="s">
        <v>482</v>
      </c>
      <c r="H84" t="s">
        <v>201</v>
      </c>
      <c r="I84" s="6" t="s">
        <v>723</v>
      </c>
      <c r="J84" s="6" t="s">
        <v>751</v>
      </c>
      <c r="K84" s="6">
        <v>2500</v>
      </c>
    </row>
    <row r="85" spans="1:11" x14ac:dyDescent="0.25">
      <c r="A85" s="2">
        <v>1</v>
      </c>
      <c r="B85" t="str">
        <f>IFERROR((_xlfn.XLOOKUP(A85,Diretriz!A:A,Diretriz!B:B)),"")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85" s="2" t="s">
        <v>5</v>
      </c>
      <c r="D85" t="str">
        <f>IFERROR((_xlfn.XLOOKUP(C85,Objetivo!C:C,Objetivo!D:D)), "")</f>
        <v>Aprimorar as ações de Vigilância em Saúde para promoção, prevenção e controle de doenças e agravos.</v>
      </c>
      <c r="E85" s="20" t="s">
        <v>49</v>
      </c>
      <c r="F85" s="19" t="str">
        <f>IFERROR(_xlfn.XLOOKUP(E85,#REF!,#REF!), "")</f>
        <v/>
      </c>
      <c r="G85" s="20" t="s">
        <v>483</v>
      </c>
      <c r="H85" t="s">
        <v>202</v>
      </c>
      <c r="I85" s="6" t="s">
        <v>723</v>
      </c>
      <c r="J85" s="6" t="s">
        <v>751</v>
      </c>
      <c r="K85" s="6">
        <v>20855</v>
      </c>
    </row>
    <row r="86" spans="1:11" x14ac:dyDescent="0.25">
      <c r="A86" s="2">
        <v>1</v>
      </c>
      <c r="B86" t="str">
        <f>IFERROR((_xlfn.XLOOKUP(A86,Diretriz!A:A,Diretriz!B:B)),"")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86" s="2" t="s">
        <v>5</v>
      </c>
      <c r="D86" t="str">
        <f>IFERROR((_xlfn.XLOOKUP(C86,Objetivo!C:C,Objetivo!D:D)), "")</f>
        <v>Aprimorar as ações de Vigilância em Saúde para promoção, prevenção e controle de doenças e agravos.</v>
      </c>
      <c r="E86" s="20" t="s">
        <v>49</v>
      </c>
      <c r="F86" s="19" t="str">
        <f>IFERROR(_xlfn.XLOOKUP(E86,#REF!,#REF!), "")</f>
        <v/>
      </c>
      <c r="G86" s="20" t="s">
        <v>484</v>
      </c>
      <c r="H86" t="s">
        <v>203</v>
      </c>
      <c r="I86" s="6" t="s">
        <v>723</v>
      </c>
      <c r="J86" s="6" t="s">
        <v>751</v>
      </c>
      <c r="K86" s="6">
        <v>58</v>
      </c>
    </row>
    <row r="87" spans="1:11" x14ac:dyDescent="0.25">
      <c r="A87" s="2">
        <v>1</v>
      </c>
      <c r="B87" t="str">
        <f>IFERROR((_xlfn.XLOOKUP(A87,Diretriz!A:A,Diretriz!B:B)),"")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87" s="2" t="s">
        <v>5</v>
      </c>
      <c r="D87" t="str">
        <f>IFERROR((_xlfn.XLOOKUP(C87,Objetivo!C:C,Objetivo!D:D)), "")</f>
        <v>Aprimorar as ações de Vigilância em Saúde para promoção, prevenção e controle de doenças e agravos.</v>
      </c>
      <c r="E87" s="20" t="s">
        <v>49</v>
      </c>
      <c r="F87" s="19" t="str">
        <f>IFERROR(_xlfn.XLOOKUP(E87,#REF!,#REF!), "")</f>
        <v/>
      </c>
      <c r="G87" s="20" t="s">
        <v>485</v>
      </c>
      <c r="H87" t="s">
        <v>204</v>
      </c>
      <c r="I87" s="6" t="s">
        <v>723</v>
      </c>
      <c r="J87" s="6" t="s">
        <v>751</v>
      </c>
      <c r="K87" s="6">
        <v>42</v>
      </c>
    </row>
    <row r="88" spans="1:11" x14ac:dyDescent="0.25">
      <c r="A88" s="2">
        <v>1</v>
      </c>
      <c r="B88" t="str">
        <f>IFERROR((_xlfn.XLOOKUP(A88,Diretriz!A:A,Diretriz!B:B)),"")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88" s="2" t="s">
        <v>5</v>
      </c>
      <c r="D88" t="str">
        <f>IFERROR((_xlfn.XLOOKUP(C88,Objetivo!C:C,Objetivo!D:D)), "")</f>
        <v>Aprimorar as ações de Vigilância em Saúde para promoção, prevenção e controle de doenças e agravos.</v>
      </c>
      <c r="E88" s="20" t="s">
        <v>49</v>
      </c>
      <c r="F88" s="19" t="str">
        <f>IFERROR(_xlfn.XLOOKUP(E88,#REF!,#REF!), "")</f>
        <v/>
      </c>
      <c r="G88" s="20" t="s">
        <v>486</v>
      </c>
      <c r="H88" t="s">
        <v>205</v>
      </c>
      <c r="I88" s="6" t="s">
        <v>723</v>
      </c>
      <c r="J88" s="6" t="s">
        <v>751</v>
      </c>
      <c r="K88" s="6">
        <v>450</v>
      </c>
    </row>
    <row r="89" spans="1:11" x14ac:dyDescent="0.25">
      <c r="A89" s="2">
        <v>1</v>
      </c>
      <c r="B89" t="str">
        <f>IFERROR((_xlfn.XLOOKUP(A89,Diretriz!A:A,Diretriz!B:B)),"")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89" s="2" t="s">
        <v>5</v>
      </c>
      <c r="D89" t="str">
        <f>IFERROR((_xlfn.XLOOKUP(C89,Objetivo!C:C,Objetivo!D:D)), "")</f>
        <v>Aprimorar as ações de Vigilância em Saúde para promoção, prevenção e controle de doenças e agravos.</v>
      </c>
      <c r="E89" s="20" t="s">
        <v>49</v>
      </c>
      <c r="F89" s="19" t="str">
        <f>IFERROR(_xlfn.XLOOKUP(E89,#REF!,#REF!), "")</f>
        <v/>
      </c>
      <c r="G89" s="20" t="s">
        <v>487</v>
      </c>
      <c r="H89" t="s">
        <v>208</v>
      </c>
      <c r="I89" s="6" t="s">
        <v>723</v>
      </c>
      <c r="J89" s="6" t="s">
        <v>751</v>
      </c>
      <c r="K89" s="6">
        <v>40</v>
      </c>
    </row>
    <row r="90" spans="1:11" x14ac:dyDescent="0.25">
      <c r="A90" s="2">
        <v>1</v>
      </c>
      <c r="B90" t="str">
        <f>IFERROR((_xlfn.XLOOKUP(A90,Diretriz!A:A,Diretriz!B:B)),"")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90" s="2" t="s">
        <v>5</v>
      </c>
      <c r="D90" t="str">
        <f>IFERROR((_xlfn.XLOOKUP(C90,Objetivo!C:C,Objetivo!D:D)), "")</f>
        <v>Aprimorar as ações de Vigilância em Saúde para promoção, prevenção e controle de doenças e agravos.</v>
      </c>
      <c r="E90" s="20" t="s">
        <v>49</v>
      </c>
      <c r="F90" s="19" t="str">
        <f>IFERROR(_xlfn.XLOOKUP(E90,#REF!,#REF!), "")</f>
        <v/>
      </c>
      <c r="G90" s="20" t="s">
        <v>488</v>
      </c>
      <c r="H90" t="s">
        <v>206</v>
      </c>
      <c r="I90" s="6" t="s">
        <v>724</v>
      </c>
      <c r="J90" s="6" t="s">
        <v>751</v>
      </c>
      <c r="K90" s="6">
        <v>5</v>
      </c>
    </row>
    <row r="91" spans="1:11" x14ac:dyDescent="0.25">
      <c r="A91" s="2">
        <v>1</v>
      </c>
      <c r="B91" t="str">
        <f>IFERROR((_xlfn.XLOOKUP(A91,Diretriz!A:A,Diretriz!B:B)),"")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91" s="2" t="s">
        <v>5</v>
      </c>
      <c r="D91" t="str">
        <f>IFERROR((_xlfn.XLOOKUP(C91,Objetivo!C:C,Objetivo!D:D)), "")</f>
        <v>Aprimorar as ações de Vigilância em Saúde para promoção, prevenção e controle de doenças e agravos.</v>
      </c>
      <c r="E91" s="20" t="s">
        <v>49</v>
      </c>
      <c r="F91" s="19" t="str">
        <f>IFERROR(_xlfn.XLOOKUP(E91,#REF!,#REF!), "")</f>
        <v/>
      </c>
      <c r="G91" s="20" t="s">
        <v>489</v>
      </c>
      <c r="H91" t="s">
        <v>207</v>
      </c>
      <c r="I91" s="6" t="s">
        <v>723</v>
      </c>
      <c r="J91" s="6" t="s">
        <v>751</v>
      </c>
      <c r="K91" s="6">
        <v>50</v>
      </c>
    </row>
    <row r="92" spans="1:11" x14ac:dyDescent="0.25">
      <c r="A92" s="2">
        <v>1</v>
      </c>
      <c r="B92" t="str">
        <f>IFERROR((_xlfn.XLOOKUP(A92,Diretriz!A:A,Diretriz!B:B)),"")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92" s="2" t="s">
        <v>5</v>
      </c>
      <c r="D92" t="str">
        <f>IFERROR((_xlfn.XLOOKUP(C92,Objetivo!C:C,Objetivo!D:D)), "")</f>
        <v>Aprimorar as ações de Vigilância em Saúde para promoção, prevenção e controle de doenças e agravos.</v>
      </c>
      <c r="E92" s="20" t="s">
        <v>50</v>
      </c>
      <c r="F92" s="19" t="str">
        <f>IFERROR(_xlfn.XLOOKUP(E92,#REF!,#REF!), "")</f>
        <v/>
      </c>
      <c r="G92" s="20" t="s">
        <v>490</v>
      </c>
      <c r="H92" t="s">
        <v>209</v>
      </c>
      <c r="I92" s="6" t="s">
        <v>723</v>
      </c>
      <c r="J92" s="6" t="s">
        <v>751</v>
      </c>
      <c r="K92" s="6">
        <v>28</v>
      </c>
    </row>
    <row r="93" spans="1:11" x14ac:dyDescent="0.25">
      <c r="A93" s="2">
        <v>1</v>
      </c>
      <c r="B93" t="str">
        <f>IFERROR((_xlfn.XLOOKUP(A93,Diretriz!A:A,Diretriz!B:B)),"")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93" s="2" t="s">
        <v>5</v>
      </c>
      <c r="D93" t="str">
        <f>IFERROR((_xlfn.XLOOKUP(C93,Objetivo!C:C,Objetivo!D:D)), "")</f>
        <v>Aprimorar as ações de Vigilância em Saúde para promoção, prevenção e controle de doenças e agravos.</v>
      </c>
      <c r="E93" s="20" t="s">
        <v>50</v>
      </c>
      <c r="F93" s="19" t="str">
        <f>IFERROR(_xlfn.XLOOKUP(E93,#REF!,#REF!), "")</f>
        <v/>
      </c>
      <c r="G93" s="20" t="s">
        <v>491</v>
      </c>
      <c r="H93" t="s">
        <v>210</v>
      </c>
      <c r="I93" s="6" t="s">
        <v>723</v>
      </c>
      <c r="J93" s="6" t="s">
        <v>751</v>
      </c>
      <c r="K93" s="6">
        <v>36</v>
      </c>
    </row>
    <row r="94" spans="1:11" x14ac:dyDescent="0.25">
      <c r="A94" s="2">
        <v>1</v>
      </c>
      <c r="B94" t="str">
        <f>IFERROR((_xlfn.XLOOKUP(A94,Diretriz!A:A,Diretriz!B:B)),"")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94" s="2" t="s">
        <v>5</v>
      </c>
      <c r="D94" t="str">
        <f>IFERROR((_xlfn.XLOOKUP(C94,Objetivo!C:C,Objetivo!D:D)), "")</f>
        <v>Aprimorar as ações de Vigilância em Saúde para promoção, prevenção e controle de doenças e agravos.</v>
      </c>
      <c r="E94" s="20" t="s">
        <v>51</v>
      </c>
      <c r="F94" s="19" t="str">
        <f>IFERROR(_xlfn.XLOOKUP(E94,#REF!,#REF!), "")</f>
        <v/>
      </c>
      <c r="G94" s="20" t="s">
        <v>492</v>
      </c>
      <c r="H94" t="s">
        <v>211</v>
      </c>
      <c r="I94" s="6" t="s">
        <v>725</v>
      </c>
      <c r="J94" s="6" t="s">
        <v>751</v>
      </c>
      <c r="K94" s="6">
        <v>101400</v>
      </c>
    </row>
    <row r="95" spans="1:11" x14ac:dyDescent="0.25">
      <c r="A95" s="2">
        <v>1</v>
      </c>
      <c r="B95" t="str">
        <f>IFERROR((_xlfn.XLOOKUP(A95,Diretriz!A:A,Diretriz!B:B)),"")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95" s="2" t="s">
        <v>5</v>
      </c>
      <c r="D95" t="str">
        <f>IFERROR((_xlfn.XLOOKUP(C95,Objetivo!C:C,Objetivo!D:D)), "")</f>
        <v>Aprimorar as ações de Vigilância em Saúde para promoção, prevenção e controle de doenças e agravos.</v>
      </c>
      <c r="E95" s="20" t="s">
        <v>51</v>
      </c>
      <c r="F95" s="19" t="str">
        <f>IFERROR(_xlfn.XLOOKUP(E95,#REF!,#REF!), "")</f>
        <v/>
      </c>
      <c r="G95" s="20" t="s">
        <v>493</v>
      </c>
      <c r="H95" t="s">
        <v>212</v>
      </c>
      <c r="I95" s="6" t="s">
        <v>725</v>
      </c>
      <c r="J95" s="6" t="s">
        <v>751</v>
      </c>
      <c r="K95" s="6">
        <v>15000</v>
      </c>
    </row>
    <row r="96" spans="1:11" x14ac:dyDescent="0.25">
      <c r="A96" s="2">
        <v>1</v>
      </c>
      <c r="B96" t="str">
        <f>IFERROR((_xlfn.XLOOKUP(A96,Diretriz!A:A,Diretriz!B:B)),"")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96" s="2" t="s">
        <v>5</v>
      </c>
      <c r="D96" t="str">
        <f>IFERROR((_xlfn.XLOOKUP(C96,Objetivo!C:C,Objetivo!D:D)), "")</f>
        <v>Aprimorar as ações de Vigilância em Saúde para promoção, prevenção e controle de doenças e agravos.</v>
      </c>
      <c r="E96" s="20" t="s">
        <v>51</v>
      </c>
      <c r="F96" s="19" t="str">
        <f>IFERROR(_xlfn.XLOOKUP(E96,#REF!,#REF!), "")</f>
        <v/>
      </c>
      <c r="G96" s="20" t="s">
        <v>494</v>
      </c>
      <c r="H96" t="s">
        <v>213</v>
      </c>
      <c r="I96" s="6" t="s">
        <v>725</v>
      </c>
      <c r="J96" s="6" t="s">
        <v>751</v>
      </c>
      <c r="K96" s="6">
        <v>72000</v>
      </c>
    </row>
    <row r="97" spans="1:11" x14ac:dyDescent="0.25">
      <c r="A97" s="2">
        <v>1</v>
      </c>
      <c r="B97" t="str">
        <f>IFERROR((_xlfn.XLOOKUP(A97,Diretriz!A:A,Diretriz!B:B)),"")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97" s="2" t="s">
        <v>5</v>
      </c>
      <c r="D97" t="str">
        <f>IFERROR((_xlfn.XLOOKUP(C97,Objetivo!C:C,Objetivo!D:D)), "")</f>
        <v>Aprimorar as ações de Vigilância em Saúde para promoção, prevenção e controle de doenças e agravos.</v>
      </c>
      <c r="E97" s="20" t="s">
        <v>52</v>
      </c>
      <c r="F97" s="19" t="str">
        <f>IFERROR(_xlfn.XLOOKUP(E97,#REF!,#REF!), "")</f>
        <v/>
      </c>
      <c r="G97" s="20" t="s">
        <v>495</v>
      </c>
      <c r="H97" t="s">
        <v>214</v>
      </c>
      <c r="I97" s="6" t="s">
        <v>726</v>
      </c>
      <c r="J97" s="6" t="s">
        <v>751</v>
      </c>
      <c r="K97" s="6">
        <v>276</v>
      </c>
    </row>
    <row r="98" spans="1:11" x14ac:dyDescent="0.25">
      <c r="A98" s="2">
        <v>1</v>
      </c>
      <c r="B98" t="str">
        <f>IFERROR((_xlfn.XLOOKUP(A98,Diretriz!A:A,Diretriz!B:B)),"")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98" s="2" t="s">
        <v>5</v>
      </c>
      <c r="D98" t="str">
        <f>IFERROR((_xlfn.XLOOKUP(C98,Objetivo!C:C,Objetivo!D:D)), "")</f>
        <v>Aprimorar as ações de Vigilância em Saúde para promoção, prevenção e controle de doenças e agravos.</v>
      </c>
      <c r="E98" s="20" t="s">
        <v>52</v>
      </c>
      <c r="F98" s="19" t="str">
        <f>IFERROR(_xlfn.XLOOKUP(E98,#REF!,#REF!), "")</f>
        <v/>
      </c>
      <c r="G98" s="20" t="s">
        <v>496</v>
      </c>
      <c r="H98" t="s">
        <v>215</v>
      </c>
      <c r="I98" s="6" t="s">
        <v>727</v>
      </c>
      <c r="J98" s="6" t="s">
        <v>751</v>
      </c>
      <c r="K98" s="6">
        <v>15</v>
      </c>
    </row>
    <row r="99" spans="1:11" x14ac:dyDescent="0.25">
      <c r="A99" s="2">
        <v>1</v>
      </c>
      <c r="B99" t="str">
        <f>IFERROR((_xlfn.XLOOKUP(A99,Diretriz!A:A,Diretriz!B:B)),"")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99" s="2" t="s">
        <v>5</v>
      </c>
      <c r="D99" t="str">
        <f>IFERROR((_xlfn.XLOOKUP(C99,Objetivo!C:C,Objetivo!D:D)), "")</f>
        <v>Aprimorar as ações de Vigilância em Saúde para promoção, prevenção e controle de doenças e agravos.</v>
      </c>
      <c r="E99" s="20" t="s">
        <v>52</v>
      </c>
      <c r="F99" s="19" t="str">
        <f>IFERROR(_xlfn.XLOOKUP(E99,#REF!,#REF!), "")</f>
        <v/>
      </c>
      <c r="G99" s="20" t="s">
        <v>497</v>
      </c>
      <c r="H99" t="s">
        <v>216</v>
      </c>
      <c r="I99" s="6" t="s">
        <v>728</v>
      </c>
      <c r="J99" s="6" t="s">
        <v>751</v>
      </c>
      <c r="K99" s="6">
        <v>10000</v>
      </c>
    </row>
    <row r="100" spans="1:11" x14ac:dyDescent="0.25">
      <c r="A100" s="2">
        <v>1</v>
      </c>
      <c r="B100" t="str">
        <f>IFERROR((_xlfn.XLOOKUP(A100,Diretriz!A:A,Diretriz!B:B)),"")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00" s="2" t="s">
        <v>5</v>
      </c>
      <c r="D100" t="str">
        <f>IFERROR((_xlfn.XLOOKUP(C100,Objetivo!C:C,Objetivo!D:D)), "")</f>
        <v>Aprimorar as ações de Vigilância em Saúde para promoção, prevenção e controle de doenças e agravos.</v>
      </c>
      <c r="E100" s="20" t="s">
        <v>52</v>
      </c>
      <c r="F100" s="19" t="str">
        <f>IFERROR(_xlfn.XLOOKUP(E100,#REF!,#REF!), "")</f>
        <v/>
      </c>
      <c r="G100" s="20" t="s">
        <v>498</v>
      </c>
      <c r="H100" t="s">
        <v>217</v>
      </c>
      <c r="I100" s="6" t="s">
        <v>729</v>
      </c>
      <c r="J100" s="6" t="s">
        <v>751</v>
      </c>
      <c r="K100" s="6">
        <v>2</v>
      </c>
    </row>
    <row r="101" spans="1:11" x14ac:dyDescent="0.25">
      <c r="A101" s="2">
        <v>1</v>
      </c>
      <c r="B101" t="str">
        <f>IFERROR((_xlfn.XLOOKUP(A101,Diretriz!A:A,Diretriz!B:B)),"")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01" s="2" t="s">
        <v>5</v>
      </c>
      <c r="D101" t="str">
        <f>IFERROR((_xlfn.XLOOKUP(C101,Objetivo!C:C,Objetivo!D:D)), "")</f>
        <v>Aprimorar as ações de Vigilância em Saúde para promoção, prevenção e controle de doenças e agravos.</v>
      </c>
      <c r="E101" s="20" t="s">
        <v>52</v>
      </c>
      <c r="F101" s="19" t="str">
        <f>IFERROR(_xlfn.XLOOKUP(E101,#REF!,#REF!), "")</f>
        <v/>
      </c>
      <c r="G101" s="20" t="s">
        <v>499</v>
      </c>
      <c r="H101" t="s">
        <v>218</v>
      </c>
      <c r="I101" s="6" t="s">
        <v>730</v>
      </c>
      <c r="J101" s="6" t="s">
        <v>751</v>
      </c>
      <c r="K101" s="6">
        <v>217</v>
      </c>
    </row>
    <row r="102" spans="1:11" x14ac:dyDescent="0.25">
      <c r="A102" s="2">
        <v>1</v>
      </c>
      <c r="B102" t="str">
        <f>IFERROR((_xlfn.XLOOKUP(A102,Diretriz!A:A,Diretriz!B:B)),"")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02" s="2" t="s">
        <v>5</v>
      </c>
      <c r="D102" t="str">
        <f>IFERROR((_xlfn.XLOOKUP(C102,Objetivo!C:C,Objetivo!D:D)), "")</f>
        <v>Aprimorar as ações de Vigilância em Saúde para promoção, prevenção e controle de doenças e agravos.</v>
      </c>
      <c r="E102" s="20" t="s">
        <v>52</v>
      </c>
      <c r="F102" s="19" t="str">
        <f>IFERROR(_xlfn.XLOOKUP(E102,#REF!,#REF!), "")</f>
        <v/>
      </c>
      <c r="G102" s="20" t="s">
        <v>500</v>
      </c>
      <c r="H102" t="s">
        <v>219</v>
      </c>
      <c r="I102" s="6" t="s">
        <v>723</v>
      </c>
      <c r="J102" s="6" t="s">
        <v>751</v>
      </c>
      <c r="K102" s="6">
        <v>5</v>
      </c>
    </row>
    <row r="103" spans="1:11" x14ac:dyDescent="0.25">
      <c r="A103" s="2">
        <v>1</v>
      </c>
      <c r="B103" t="str">
        <f>IFERROR((_xlfn.XLOOKUP(A103,Diretriz!A:A,Diretriz!B:B)),"")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03" s="2" t="s">
        <v>5</v>
      </c>
      <c r="D103" t="str">
        <f>IFERROR((_xlfn.XLOOKUP(C103,Objetivo!C:C,Objetivo!D:D)), "")</f>
        <v>Aprimorar as ações de Vigilância em Saúde para promoção, prevenção e controle de doenças e agravos.</v>
      </c>
      <c r="E103" s="20" t="s">
        <v>52</v>
      </c>
      <c r="F103" s="19" t="str">
        <f>IFERROR(_xlfn.XLOOKUP(E103,#REF!,#REF!), "")</f>
        <v/>
      </c>
      <c r="G103" s="20" t="s">
        <v>501</v>
      </c>
      <c r="H103" t="s">
        <v>220</v>
      </c>
      <c r="I103" s="6" t="s">
        <v>731</v>
      </c>
      <c r="J103" s="6" t="s">
        <v>751</v>
      </c>
      <c r="K103" s="6">
        <v>23</v>
      </c>
    </row>
    <row r="104" spans="1:11" x14ac:dyDescent="0.25">
      <c r="A104" s="2">
        <v>1</v>
      </c>
      <c r="B104" t="str">
        <f>IFERROR((_xlfn.XLOOKUP(A104,Diretriz!A:A,Diretriz!B:B)),"")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04" s="2" t="s">
        <v>5</v>
      </c>
      <c r="D104" t="str">
        <f>IFERROR((_xlfn.XLOOKUP(C104,Objetivo!C:C,Objetivo!D:D)), "")</f>
        <v>Aprimorar as ações de Vigilância em Saúde para promoção, prevenção e controle de doenças e agravos.</v>
      </c>
      <c r="E104" s="20" t="s">
        <v>52</v>
      </c>
      <c r="F104" s="19" t="str">
        <f>IFERROR(_xlfn.XLOOKUP(E104,#REF!,#REF!), "")</f>
        <v/>
      </c>
      <c r="G104" s="20" t="s">
        <v>502</v>
      </c>
      <c r="H104" t="s">
        <v>221</v>
      </c>
      <c r="I104" s="6" t="s">
        <v>731</v>
      </c>
      <c r="J104" s="6" t="s">
        <v>751</v>
      </c>
      <c r="K104" s="6">
        <v>23</v>
      </c>
    </row>
    <row r="105" spans="1:11" x14ac:dyDescent="0.25">
      <c r="A105" s="2">
        <v>1</v>
      </c>
      <c r="B105" t="str">
        <f>IFERROR((_xlfn.XLOOKUP(A105,Diretriz!A:A,Diretriz!B:B)),"")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05" s="2" t="s">
        <v>5</v>
      </c>
      <c r="D105" t="str">
        <f>IFERROR((_xlfn.XLOOKUP(C105,Objetivo!C:C,Objetivo!D:D)), "")</f>
        <v>Aprimorar as ações de Vigilância em Saúde para promoção, prevenção e controle de doenças e agravos.</v>
      </c>
      <c r="E105" s="20" t="s">
        <v>52</v>
      </c>
      <c r="F105" s="19" t="str">
        <f>IFERROR(_xlfn.XLOOKUP(E105,#REF!,#REF!), "")</f>
        <v/>
      </c>
      <c r="G105" s="20" t="s">
        <v>503</v>
      </c>
      <c r="H105" t="s">
        <v>222</v>
      </c>
      <c r="I105" s="6" t="s">
        <v>732</v>
      </c>
      <c r="J105" s="6" t="s">
        <v>751</v>
      </c>
      <c r="K105" s="6">
        <v>6</v>
      </c>
    </row>
    <row r="106" spans="1:11" x14ac:dyDescent="0.25">
      <c r="A106" s="2">
        <v>1</v>
      </c>
      <c r="B106" t="str">
        <f>IFERROR((_xlfn.XLOOKUP(A106,Diretriz!A:A,Diretriz!B:B)),"")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06" s="2" t="s">
        <v>5</v>
      </c>
      <c r="D106" t="str">
        <f>IFERROR((_xlfn.XLOOKUP(C106,Objetivo!C:C,Objetivo!D:D)), "")</f>
        <v>Aprimorar as ações de Vigilância em Saúde para promoção, prevenção e controle de doenças e agravos.</v>
      </c>
      <c r="E106" s="20" t="s">
        <v>52</v>
      </c>
      <c r="F106" s="19" t="str">
        <f>IFERROR(_xlfn.XLOOKUP(E106,#REF!,#REF!), "")</f>
        <v/>
      </c>
      <c r="G106" s="20" t="s">
        <v>504</v>
      </c>
      <c r="H106" t="s">
        <v>223</v>
      </c>
      <c r="I106" s="6" t="s">
        <v>723</v>
      </c>
      <c r="J106" s="6" t="s">
        <v>751</v>
      </c>
      <c r="K106" s="6">
        <v>200</v>
      </c>
    </row>
    <row r="107" spans="1:11" x14ac:dyDescent="0.25">
      <c r="A107" s="2">
        <v>1</v>
      </c>
      <c r="B107" t="str">
        <f>IFERROR((_xlfn.XLOOKUP(A107,Diretriz!A:A,Diretriz!B:B)),"")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07" s="2" t="s">
        <v>5</v>
      </c>
      <c r="D107" t="str">
        <f>IFERROR((_xlfn.XLOOKUP(C107,Objetivo!C:C,Objetivo!D:D)), "")</f>
        <v>Aprimorar as ações de Vigilância em Saúde para promoção, prevenção e controle de doenças e agravos.</v>
      </c>
      <c r="E107" s="20" t="s">
        <v>52</v>
      </c>
      <c r="F107" s="19" t="str">
        <f>IFERROR(_xlfn.XLOOKUP(E107,#REF!,#REF!), "")</f>
        <v/>
      </c>
      <c r="G107" s="20" t="s">
        <v>505</v>
      </c>
      <c r="H107" t="s">
        <v>224</v>
      </c>
      <c r="I107" s="6" t="s">
        <v>723</v>
      </c>
      <c r="J107" s="6" t="s">
        <v>751</v>
      </c>
      <c r="K107" s="6">
        <v>150</v>
      </c>
    </row>
    <row r="108" spans="1:11" x14ac:dyDescent="0.25">
      <c r="A108" s="2">
        <v>1</v>
      </c>
      <c r="B108" t="str">
        <f>IFERROR((_xlfn.XLOOKUP(A108,Diretriz!A:A,Diretriz!B:B)),"")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08" s="2" t="s">
        <v>5</v>
      </c>
      <c r="D108" t="str">
        <f>IFERROR((_xlfn.XLOOKUP(C108,Objetivo!C:C,Objetivo!D:D)), "")</f>
        <v>Aprimorar as ações de Vigilância em Saúde para promoção, prevenção e controle de doenças e agravos.</v>
      </c>
      <c r="E108" s="20" t="s">
        <v>52</v>
      </c>
      <c r="F108" s="19" t="str">
        <f>IFERROR(_xlfn.XLOOKUP(E108,#REF!,#REF!), "")</f>
        <v/>
      </c>
      <c r="G108" s="20" t="s">
        <v>506</v>
      </c>
      <c r="H108" t="s">
        <v>225</v>
      </c>
      <c r="I108" s="6" t="s">
        <v>723</v>
      </c>
      <c r="J108" s="6" t="s">
        <v>751</v>
      </c>
      <c r="K108" s="6">
        <v>50</v>
      </c>
    </row>
    <row r="109" spans="1:11" x14ac:dyDescent="0.25">
      <c r="A109" s="2">
        <v>1</v>
      </c>
      <c r="B109" t="str">
        <f>IFERROR((_xlfn.XLOOKUP(A109,Diretriz!A:A,Diretriz!B:B)),"")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09" s="2" t="s">
        <v>5</v>
      </c>
      <c r="D109" t="str">
        <f>IFERROR((_xlfn.XLOOKUP(C109,Objetivo!C:C,Objetivo!D:D)), "")</f>
        <v>Aprimorar as ações de Vigilância em Saúde para promoção, prevenção e controle de doenças e agravos.</v>
      </c>
      <c r="E109" s="20" t="s">
        <v>52</v>
      </c>
      <c r="F109" s="19" t="str">
        <f>IFERROR(_xlfn.XLOOKUP(E109,#REF!,#REF!), "")</f>
        <v/>
      </c>
      <c r="G109" s="20" t="s">
        <v>507</v>
      </c>
      <c r="H109" t="s">
        <v>226</v>
      </c>
      <c r="I109" s="6" t="s">
        <v>733</v>
      </c>
      <c r="J109" s="6" t="s">
        <v>751</v>
      </c>
      <c r="K109" s="6">
        <v>3080</v>
      </c>
    </row>
    <row r="110" spans="1:11" x14ac:dyDescent="0.25">
      <c r="A110" s="2">
        <v>1</v>
      </c>
      <c r="B110" t="str">
        <f>IFERROR((_xlfn.XLOOKUP(A110,Diretriz!A:A,Diretriz!B:B)),"")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10" s="2" t="s">
        <v>5</v>
      </c>
      <c r="D110" t="str">
        <f>IFERROR((_xlfn.XLOOKUP(C110,Objetivo!C:C,Objetivo!D:D)), "")</f>
        <v>Aprimorar as ações de Vigilância em Saúde para promoção, prevenção e controle de doenças e agravos.</v>
      </c>
      <c r="E110" s="20" t="s">
        <v>52</v>
      </c>
      <c r="F110" s="19" t="str">
        <f>IFERROR(_xlfn.XLOOKUP(E110,#REF!,#REF!), "")</f>
        <v/>
      </c>
      <c r="G110" s="20" t="s">
        <v>508</v>
      </c>
      <c r="H110" t="s">
        <v>227</v>
      </c>
      <c r="I110" s="6" t="s">
        <v>723</v>
      </c>
      <c r="J110" s="6" t="s">
        <v>751</v>
      </c>
      <c r="K110" s="6">
        <v>18</v>
      </c>
    </row>
    <row r="111" spans="1:11" x14ac:dyDescent="0.25">
      <c r="A111" s="2">
        <v>1</v>
      </c>
      <c r="B111" t="str">
        <f>IFERROR((_xlfn.XLOOKUP(A111,Diretriz!A:A,Diretriz!B:B)),"")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11" s="2" t="s">
        <v>5</v>
      </c>
      <c r="D111" t="str">
        <f>IFERROR((_xlfn.XLOOKUP(C111,Objetivo!C:C,Objetivo!D:D)), "")</f>
        <v>Aprimorar as ações de Vigilância em Saúde para promoção, prevenção e controle de doenças e agravos.</v>
      </c>
      <c r="E111" s="20" t="s">
        <v>52</v>
      </c>
      <c r="F111" s="19" t="str">
        <f>IFERROR(_xlfn.XLOOKUP(E111,#REF!,#REF!), "")</f>
        <v/>
      </c>
      <c r="G111" s="20" t="s">
        <v>509</v>
      </c>
      <c r="H111" t="s">
        <v>228</v>
      </c>
      <c r="I111" s="6" t="s">
        <v>819</v>
      </c>
      <c r="J111" s="6" t="s">
        <v>751</v>
      </c>
      <c r="K111" s="6">
        <v>100</v>
      </c>
    </row>
    <row r="112" spans="1:11" x14ac:dyDescent="0.25">
      <c r="A112" s="2">
        <v>1</v>
      </c>
      <c r="B112" t="str">
        <f>IFERROR((_xlfn.XLOOKUP(A112,Diretriz!A:A,Diretriz!B:B)),"")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12" s="2" t="s">
        <v>5</v>
      </c>
      <c r="D112" t="str">
        <f>IFERROR((_xlfn.XLOOKUP(C112,Objetivo!C:C,Objetivo!D:D)), "")</f>
        <v>Aprimorar as ações de Vigilância em Saúde para promoção, prevenção e controle de doenças e agravos.</v>
      </c>
      <c r="E112" s="20" t="s">
        <v>52</v>
      </c>
      <c r="F112" s="19" t="str">
        <f>IFERROR(_xlfn.XLOOKUP(E112,#REF!,#REF!), "")</f>
        <v/>
      </c>
      <c r="G112" s="20" t="s">
        <v>510</v>
      </c>
      <c r="H112" t="s">
        <v>229</v>
      </c>
      <c r="I112" s="6" t="s">
        <v>734</v>
      </c>
      <c r="J112" s="6" t="s">
        <v>751</v>
      </c>
      <c r="K112" s="6">
        <v>90</v>
      </c>
    </row>
    <row r="113" spans="1:11" x14ac:dyDescent="0.25">
      <c r="A113" s="2">
        <v>1</v>
      </c>
      <c r="B113" t="str">
        <f>IFERROR((_xlfn.XLOOKUP(A113,Diretriz!A:A,Diretriz!B:B)),"")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13" s="2" t="s">
        <v>5</v>
      </c>
      <c r="D113" t="str">
        <f>IFERROR((_xlfn.XLOOKUP(C113,Objetivo!C:C,Objetivo!D:D)), "")</f>
        <v>Aprimorar as ações de Vigilância em Saúde para promoção, prevenção e controle de doenças e agravos.</v>
      </c>
      <c r="E113" s="20" t="s">
        <v>52</v>
      </c>
      <c r="F113" s="19" t="str">
        <f>IFERROR(_xlfn.XLOOKUP(E113,#REF!,#REF!), "")</f>
        <v/>
      </c>
      <c r="G113" s="20" t="s">
        <v>511</v>
      </c>
      <c r="H113" t="s">
        <v>230</v>
      </c>
      <c r="I113" s="6" t="s">
        <v>723</v>
      </c>
      <c r="J113" s="6" t="s">
        <v>751</v>
      </c>
      <c r="K113" s="6">
        <v>12</v>
      </c>
    </row>
    <row r="114" spans="1:11" x14ac:dyDescent="0.25">
      <c r="A114" s="2">
        <v>1</v>
      </c>
      <c r="B114" t="str">
        <f>IFERROR((_xlfn.XLOOKUP(A114,Diretriz!A:A,Diretriz!B:B)),"")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14" s="2" t="s">
        <v>5</v>
      </c>
      <c r="D114" t="str">
        <f>IFERROR((_xlfn.XLOOKUP(C114,Objetivo!C:C,Objetivo!D:D)), "")</f>
        <v>Aprimorar as ações de Vigilância em Saúde para promoção, prevenção e controle de doenças e agravos.</v>
      </c>
      <c r="E114" s="20" t="s">
        <v>52</v>
      </c>
      <c r="F114" s="19" t="str">
        <f>IFERROR(_xlfn.XLOOKUP(E114,#REF!,#REF!), "")</f>
        <v/>
      </c>
      <c r="G114" s="20" t="s">
        <v>512</v>
      </c>
      <c r="H114" t="s">
        <v>231</v>
      </c>
      <c r="I114" s="6" t="s">
        <v>723</v>
      </c>
      <c r="J114" s="6" t="s">
        <v>751</v>
      </c>
      <c r="K114" s="6">
        <v>20</v>
      </c>
    </row>
    <row r="115" spans="1:11" x14ac:dyDescent="0.25">
      <c r="A115" s="2">
        <v>1</v>
      </c>
      <c r="B115" t="str">
        <f>IFERROR((_xlfn.XLOOKUP(A115,Diretriz!A:A,Diretriz!B:B)),"")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15" s="2" t="s">
        <v>5</v>
      </c>
      <c r="D115" t="str">
        <f>IFERROR((_xlfn.XLOOKUP(C115,Objetivo!C:C,Objetivo!D:D)), "")</f>
        <v>Aprimorar as ações de Vigilância em Saúde para promoção, prevenção e controle de doenças e agravos.</v>
      </c>
      <c r="E115" s="20" t="s">
        <v>53</v>
      </c>
      <c r="F115" s="19" t="str">
        <f>IFERROR(_xlfn.XLOOKUP(E115,#REF!,#REF!), "")</f>
        <v/>
      </c>
      <c r="G115" s="20" t="s">
        <v>513</v>
      </c>
      <c r="H115" t="s">
        <v>232</v>
      </c>
      <c r="I115" s="6" t="s">
        <v>718</v>
      </c>
      <c r="J115" s="6" t="s">
        <v>751</v>
      </c>
      <c r="K115" s="6">
        <v>60</v>
      </c>
    </row>
    <row r="116" spans="1:11" x14ac:dyDescent="0.25">
      <c r="A116" s="2">
        <v>1</v>
      </c>
      <c r="B116" t="str">
        <f>IFERROR((_xlfn.XLOOKUP(A116,Diretriz!A:A,Diretriz!B:B)),"")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16" s="2" t="s">
        <v>5</v>
      </c>
      <c r="D116" t="str">
        <f>IFERROR((_xlfn.XLOOKUP(C116,Objetivo!C:C,Objetivo!D:D)), "")</f>
        <v>Aprimorar as ações de Vigilância em Saúde para promoção, prevenção e controle de doenças e agravos.</v>
      </c>
      <c r="E116" s="20" t="s">
        <v>53</v>
      </c>
      <c r="F116" s="19" t="str">
        <f>IFERROR(_xlfn.XLOOKUP(E116,#REF!,#REF!), "")</f>
        <v/>
      </c>
      <c r="G116" s="20" t="s">
        <v>514</v>
      </c>
      <c r="H116" t="s">
        <v>233</v>
      </c>
      <c r="I116" s="6" t="s">
        <v>718</v>
      </c>
      <c r="J116" s="6" t="s">
        <v>751</v>
      </c>
      <c r="K116" s="6">
        <v>60</v>
      </c>
    </row>
    <row r="117" spans="1:11" x14ac:dyDescent="0.25">
      <c r="A117" s="2">
        <v>1</v>
      </c>
      <c r="B117" t="str">
        <f>IFERROR((_xlfn.XLOOKUP(A117,Diretriz!A:A,Diretriz!B:B)),"")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17" s="2" t="s">
        <v>5</v>
      </c>
      <c r="D117" t="str">
        <f>IFERROR((_xlfn.XLOOKUP(C117,Objetivo!C:C,Objetivo!D:D)), "")</f>
        <v>Aprimorar as ações de Vigilância em Saúde para promoção, prevenção e controle de doenças e agravos.</v>
      </c>
      <c r="E117" s="20" t="s">
        <v>53</v>
      </c>
      <c r="F117" s="19" t="str">
        <f>IFERROR(_xlfn.XLOOKUP(E117,#REF!,#REF!), "")</f>
        <v/>
      </c>
      <c r="G117" s="20" t="s">
        <v>515</v>
      </c>
      <c r="H117" t="s">
        <v>234</v>
      </c>
      <c r="I117" s="6" t="s">
        <v>718</v>
      </c>
      <c r="J117" s="6" t="s">
        <v>751</v>
      </c>
      <c r="K117" s="6">
        <v>60</v>
      </c>
    </row>
    <row r="118" spans="1:11" x14ac:dyDescent="0.25">
      <c r="A118" s="2">
        <v>1</v>
      </c>
      <c r="B118" t="str">
        <f>IFERROR((_xlfn.XLOOKUP(A118,Diretriz!A:A,Diretriz!B:B)),"")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18" s="2" t="s">
        <v>5</v>
      </c>
      <c r="D118" t="str">
        <f>IFERROR((_xlfn.XLOOKUP(C118,Objetivo!C:C,Objetivo!D:D)), "")</f>
        <v>Aprimorar as ações de Vigilância em Saúde para promoção, prevenção e controle de doenças e agravos.</v>
      </c>
      <c r="E118" s="20" t="s">
        <v>53</v>
      </c>
      <c r="F118" s="19" t="str">
        <f>IFERROR(_xlfn.XLOOKUP(E118,#REF!,#REF!), "")</f>
        <v/>
      </c>
      <c r="G118" s="20" t="s">
        <v>516</v>
      </c>
      <c r="H118" t="s">
        <v>235</v>
      </c>
      <c r="I118" s="6" t="s">
        <v>718</v>
      </c>
      <c r="J118" s="6" t="s">
        <v>751</v>
      </c>
      <c r="K118" s="6">
        <v>2</v>
      </c>
    </row>
    <row r="119" spans="1:11" x14ac:dyDescent="0.25">
      <c r="A119" s="2">
        <v>1</v>
      </c>
      <c r="B119" t="str">
        <f>IFERROR((_xlfn.XLOOKUP(A119,Diretriz!A:A,Diretriz!B:B)),"")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19" s="2" t="s">
        <v>5</v>
      </c>
      <c r="D119" t="str">
        <f>IFERROR((_xlfn.XLOOKUP(C119,Objetivo!C:C,Objetivo!D:D)), "")</f>
        <v>Aprimorar as ações de Vigilância em Saúde para promoção, prevenção e controle de doenças e agravos.</v>
      </c>
      <c r="E119" s="20" t="s">
        <v>53</v>
      </c>
      <c r="F119" s="19" t="str">
        <f>IFERROR(_xlfn.XLOOKUP(E119,#REF!,#REF!), "")</f>
        <v/>
      </c>
      <c r="G119" s="20" t="s">
        <v>517</v>
      </c>
      <c r="H119" t="s">
        <v>236</v>
      </c>
      <c r="I119" s="6" t="s">
        <v>718</v>
      </c>
      <c r="J119" s="6" t="s">
        <v>751</v>
      </c>
      <c r="K119" s="6">
        <v>60</v>
      </c>
    </row>
    <row r="120" spans="1:11" x14ac:dyDescent="0.25">
      <c r="A120" s="2">
        <v>1</v>
      </c>
      <c r="B120" t="str">
        <f>IFERROR((_xlfn.XLOOKUP(A120,Diretriz!A:A,Diretriz!B:B)),"")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20" s="2" t="s">
        <v>5</v>
      </c>
      <c r="D120" t="str">
        <f>IFERROR((_xlfn.XLOOKUP(C120,Objetivo!C:C,Objetivo!D:D)), "")</f>
        <v>Aprimorar as ações de Vigilância em Saúde para promoção, prevenção e controle de doenças e agravos.</v>
      </c>
      <c r="E120" s="20" t="s">
        <v>53</v>
      </c>
      <c r="F120" s="19" t="str">
        <f>IFERROR(_xlfn.XLOOKUP(E120,#REF!,#REF!), "")</f>
        <v/>
      </c>
      <c r="G120" s="20" t="s">
        <v>518</v>
      </c>
      <c r="H120" t="s">
        <v>237</v>
      </c>
      <c r="I120" s="6" t="s">
        <v>718</v>
      </c>
      <c r="J120" s="6" t="s">
        <v>751</v>
      </c>
      <c r="K120" s="6">
        <v>21</v>
      </c>
    </row>
    <row r="121" spans="1:11" x14ac:dyDescent="0.25">
      <c r="A121" s="2">
        <v>1</v>
      </c>
      <c r="B121" t="str">
        <f>IFERROR((_xlfn.XLOOKUP(A121,Diretriz!A:A,Diretriz!B:B)),"")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21" s="2" t="s">
        <v>5</v>
      </c>
      <c r="D121" t="str">
        <f>IFERROR((_xlfn.XLOOKUP(C121,Objetivo!C:C,Objetivo!D:D)), "")</f>
        <v>Aprimorar as ações de Vigilância em Saúde para promoção, prevenção e controle de doenças e agravos.</v>
      </c>
      <c r="E121" s="20" t="s">
        <v>53</v>
      </c>
      <c r="F121" s="19" t="str">
        <f>IFERROR(_xlfn.XLOOKUP(E121,#REF!,#REF!), "")</f>
        <v/>
      </c>
      <c r="G121" s="20" t="s">
        <v>519</v>
      </c>
      <c r="H121" t="s">
        <v>238</v>
      </c>
      <c r="I121" s="6" t="s">
        <v>718</v>
      </c>
      <c r="J121" s="6" t="s">
        <v>751</v>
      </c>
      <c r="K121" s="6">
        <v>33</v>
      </c>
    </row>
    <row r="122" spans="1:11" x14ac:dyDescent="0.25">
      <c r="A122" s="2">
        <v>1</v>
      </c>
      <c r="B122" t="str">
        <f>IFERROR((_xlfn.XLOOKUP(A122,Diretriz!A:A,Diretriz!B:B)),"")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22" s="2" t="s">
        <v>5</v>
      </c>
      <c r="D122" t="str">
        <f>IFERROR((_xlfn.XLOOKUP(C122,Objetivo!C:C,Objetivo!D:D)), "")</f>
        <v>Aprimorar as ações de Vigilância em Saúde para promoção, prevenção e controle de doenças e agravos.</v>
      </c>
      <c r="E122" s="20" t="s">
        <v>53</v>
      </c>
      <c r="F122" s="19" t="str">
        <f>IFERROR(_xlfn.XLOOKUP(E122,#REF!,#REF!), "")</f>
        <v/>
      </c>
      <c r="G122" s="20" t="s">
        <v>520</v>
      </c>
      <c r="H122" t="s">
        <v>239</v>
      </c>
      <c r="I122" s="6" t="s">
        <v>718</v>
      </c>
      <c r="J122" s="6" t="s">
        <v>751</v>
      </c>
      <c r="K122" s="6">
        <v>6</v>
      </c>
    </row>
    <row r="123" spans="1:11" x14ac:dyDescent="0.25">
      <c r="A123" s="2">
        <v>1</v>
      </c>
      <c r="B123" t="str">
        <f>IFERROR((_xlfn.XLOOKUP(A123,Diretriz!A:A,Diretriz!B:B)),"")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23" s="2" t="s">
        <v>5</v>
      </c>
      <c r="D123" t="str">
        <f>IFERROR((_xlfn.XLOOKUP(C123,Objetivo!C:C,Objetivo!D:D)), "")</f>
        <v>Aprimorar as ações de Vigilância em Saúde para promoção, prevenção e controle de doenças e agravos.</v>
      </c>
      <c r="E123" s="20" t="s">
        <v>53</v>
      </c>
      <c r="F123" s="19" t="str">
        <f>IFERROR(_xlfn.XLOOKUP(E123,#REF!,#REF!), "")</f>
        <v/>
      </c>
      <c r="G123" s="20" t="s">
        <v>521</v>
      </c>
      <c r="H123" t="s">
        <v>240</v>
      </c>
      <c r="I123" s="6" t="s">
        <v>718</v>
      </c>
      <c r="J123" s="6" t="s">
        <v>751</v>
      </c>
      <c r="K123" s="6">
        <v>60</v>
      </c>
    </row>
    <row r="124" spans="1:11" x14ac:dyDescent="0.25">
      <c r="A124" s="2">
        <v>1</v>
      </c>
      <c r="B124" t="str">
        <f>IFERROR((_xlfn.XLOOKUP(A124,Diretriz!A:A,Diretriz!B:B)),"")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24" s="2" t="s">
        <v>5</v>
      </c>
      <c r="D124" t="str">
        <f>IFERROR((_xlfn.XLOOKUP(C124,Objetivo!C:C,Objetivo!D:D)), "")</f>
        <v>Aprimorar as ações de Vigilância em Saúde para promoção, prevenção e controle de doenças e agravos.</v>
      </c>
      <c r="E124" s="20" t="s">
        <v>53</v>
      </c>
      <c r="F124" s="19" t="str">
        <f>IFERROR(_xlfn.XLOOKUP(E124,#REF!,#REF!), "")</f>
        <v/>
      </c>
      <c r="G124" s="20" t="s">
        <v>522</v>
      </c>
      <c r="H124" t="s">
        <v>241</v>
      </c>
      <c r="I124" s="6" t="s">
        <v>723</v>
      </c>
      <c r="J124" s="6" t="s">
        <v>751</v>
      </c>
      <c r="K124" s="6">
        <v>6</v>
      </c>
    </row>
    <row r="125" spans="1:11" x14ac:dyDescent="0.25">
      <c r="A125" s="2">
        <v>1</v>
      </c>
      <c r="B125" t="str">
        <f>IFERROR((_xlfn.XLOOKUP(A125,Diretriz!A:A,Diretriz!B:B)),"")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25" s="2" t="s">
        <v>6</v>
      </c>
      <c r="D125" t="str">
        <f>IFERROR((_xlfn.XLOOKUP(C125,Objetivo!C:C,Objetivo!D:D)), "")</f>
        <v>Garantir aos usuários do SUS acesso aos medicamentos contemplados nos Componentes Básico, Especializado, Estratégico da Assistência Farmacêutica e dos programas da SES/MA.</v>
      </c>
      <c r="E125" s="20" t="s">
        <v>54</v>
      </c>
      <c r="F125" s="19" t="str">
        <f>IFERROR(_xlfn.XLOOKUP(E125,#REF!,#REF!), "")</f>
        <v/>
      </c>
      <c r="G125" s="20" t="s">
        <v>523</v>
      </c>
      <c r="H125" t="s">
        <v>242</v>
      </c>
      <c r="I125" s="6" t="s">
        <v>728</v>
      </c>
      <c r="J125" s="6" t="s">
        <v>751</v>
      </c>
      <c r="K125" s="6">
        <v>323533</v>
      </c>
    </row>
    <row r="126" spans="1:11" x14ac:dyDescent="0.25">
      <c r="A126" s="2">
        <v>1</v>
      </c>
      <c r="B126" t="str">
        <f>IFERROR((_xlfn.XLOOKUP(A126,Diretriz!A:A,Diretriz!B:B)),"")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26" s="2" t="s">
        <v>6</v>
      </c>
      <c r="D126" t="str">
        <f>IFERROR((_xlfn.XLOOKUP(C126,Objetivo!C:C,Objetivo!D:D)), "")</f>
        <v>Garantir aos usuários do SUS acesso aos medicamentos contemplados nos Componentes Básico, Especializado, Estratégico da Assistência Farmacêutica e dos programas da SES/MA.</v>
      </c>
      <c r="E126" s="20" t="s">
        <v>55</v>
      </c>
      <c r="F126" s="19" t="str">
        <f>IFERROR(_xlfn.XLOOKUP(E126,#REF!,#REF!), "")</f>
        <v/>
      </c>
      <c r="G126" s="20" t="s">
        <v>524</v>
      </c>
      <c r="H126" t="s">
        <v>243</v>
      </c>
      <c r="I126" s="6" t="s">
        <v>728</v>
      </c>
      <c r="J126" s="6" t="s">
        <v>751</v>
      </c>
      <c r="K126" s="6">
        <v>11248</v>
      </c>
    </row>
    <row r="127" spans="1:11" x14ac:dyDescent="0.25">
      <c r="A127" s="2">
        <v>1</v>
      </c>
      <c r="B127" t="str">
        <f>IFERROR((_xlfn.XLOOKUP(A127,Diretriz!A:A,Diretriz!B:B)),"")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27" s="2" t="s">
        <v>6</v>
      </c>
      <c r="D127" t="str">
        <f>IFERROR((_xlfn.XLOOKUP(C127,Objetivo!C:C,Objetivo!D:D)), "")</f>
        <v>Garantir aos usuários do SUS acesso aos medicamentos contemplados nos Componentes Básico, Especializado, Estratégico da Assistência Farmacêutica e dos programas da SES/MA.</v>
      </c>
      <c r="E127" s="20" t="s">
        <v>55</v>
      </c>
      <c r="F127" s="19" t="str">
        <f>IFERROR(_xlfn.XLOOKUP(E127,#REF!,#REF!), "")</f>
        <v/>
      </c>
      <c r="G127" s="20" t="s">
        <v>525</v>
      </c>
      <c r="H127" t="s">
        <v>244</v>
      </c>
      <c r="I127" s="6" t="s">
        <v>735</v>
      </c>
      <c r="J127" s="6" t="s">
        <v>751</v>
      </c>
      <c r="K127" s="6">
        <v>1</v>
      </c>
    </row>
    <row r="128" spans="1:11" x14ac:dyDescent="0.25">
      <c r="A128" s="2">
        <v>1</v>
      </c>
      <c r="B128" t="str">
        <f>IFERROR((_xlfn.XLOOKUP(A128,Diretriz!A:A,Diretriz!B:B)),"")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28" s="2" t="s">
        <v>6</v>
      </c>
      <c r="D128" t="str">
        <f>IFERROR((_xlfn.XLOOKUP(C128,Objetivo!C:C,Objetivo!D:D)), "")</f>
        <v>Garantir aos usuários do SUS acesso aos medicamentos contemplados nos Componentes Básico, Especializado, Estratégico da Assistência Farmacêutica e dos programas da SES/MA.</v>
      </c>
      <c r="E128" s="20" t="s">
        <v>56</v>
      </c>
      <c r="F128" s="19" t="str">
        <f>IFERROR(_xlfn.XLOOKUP(E128,#REF!,#REF!), "")</f>
        <v/>
      </c>
      <c r="G128" s="20" t="s">
        <v>526</v>
      </c>
      <c r="H128" t="s">
        <v>245</v>
      </c>
      <c r="I128" s="6" t="s">
        <v>736</v>
      </c>
      <c r="J128" s="6" t="s">
        <v>751</v>
      </c>
      <c r="K128" s="6">
        <v>2</v>
      </c>
    </row>
    <row r="129" spans="1:11" x14ac:dyDescent="0.25">
      <c r="A129" s="2">
        <v>1</v>
      </c>
      <c r="B129" t="str">
        <f>IFERROR((_xlfn.XLOOKUP(A129,Diretriz!A:A,Diretriz!B:B)),"")</f>
        <v>Garantir o acesso da população às ações e serviços da saúde como direito fundamental ao atendimento das necessidades de saúde, mediante o aprimoramento da política de atenção primária, vigilância em saúde e garantindo o acesso a medicamentos e insumos estratégicos no âmbito do SUS.</v>
      </c>
      <c r="C129" s="2" t="s">
        <v>6</v>
      </c>
      <c r="D129" t="str">
        <f>IFERROR((_xlfn.XLOOKUP(C129,Objetivo!C:C,Objetivo!D:D)), "")</f>
        <v>Garantir aos usuários do SUS acesso aos medicamentos contemplados nos Componentes Básico, Especializado, Estratégico da Assistência Farmacêutica e dos programas da SES/MA.</v>
      </c>
      <c r="E129" s="20" t="s">
        <v>57</v>
      </c>
      <c r="F129" s="19" t="str">
        <f>IFERROR(_xlfn.XLOOKUP(E129,#REF!,#REF!), "")</f>
        <v/>
      </c>
      <c r="G129" s="20" t="s">
        <v>527</v>
      </c>
      <c r="H129" t="s">
        <v>246</v>
      </c>
      <c r="I129" s="6" t="s">
        <v>728</v>
      </c>
      <c r="J129" s="6" t="s">
        <v>751</v>
      </c>
      <c r="K129" s="6">
        <v>104079</v>
      </c>
    </row>
    <row r="130" spans="1:11" x14ac:dyDescent="0.25">
      <c r="A130" s="2">
        <v>2</v>
      </c>
      <c r="B130" t="str">
        <f>IFERROR((_xlfn.XLOOKUP(A130,Diretriz!A:A,Diretriz!B:B)),"")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30" s="2" t="s">
        <v>7</v>
      </c>
      <c r="D130" t="str">
        <f>IFERROR((_xlfn.XLOOKUP(C130,Objetivo!C:C,Objetivo!D:D)), "")</f>
        <v>Garantir a integralidade da assistência dos serviços de média e alta complexidade aos usuários do SUS, por meio do fortalecimento das redes de atenção à saúde.</v>
      </c>
      <c r="E130" s="20" t="s">
        <v>58</v>
      </c>
      <c r="F130" s="19" t="str">
        <f>IFERROR(_xlfn.XLOOKUP(E130,#REF!,#REF!), "")</f>
        <v/>
      </c>
      <c r="G130" s="20" t="s">
        <v>528</v>
      </c>
      <c r="H130" t="s">
        <v>247</v>
      </c>
      <c r="I130" s="6" t="s">
        <v>736</v>
      </c>
      <c r="J130" s="6" t="s">
        <v>751</v>
      </c>
      <c r="K130" s="6">
        <v>2</v>
      </c>
    </row>
    <row r="131" spans="1:11" x14ac:dyDescent="0.25">
      <c r="A131" s="2">
        <v>2</v>
      </c>
      <c r="B131" t="str">
        <f>IFERROR((_xlfn.XLOOKUP(A131,Diretriz!A:A,Diretriz!B:B)),"")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31" s="2" t="s">
        <v>7</v>
      </c>
      <c r="D131" t="str">
        <f>IFERROR((_xlfn.XLOOKUP(C131,Objetivo!C:C,Objetivo!D:D)), "")</f>
        <v>Garantir a integralidade da assistência dos serviços de média e alta complexidade aos usuários do SUS, por meio do fortalecimento das redes de atenção à saúde.</v>
      </c>
      <c r="E131" s="20" t="s">
        <v>58</v>
      </c>
      <c r="F131" s="19" t="str">
        <f>IFERROR(_xlfn.XLOOKUP(E131,#REF!,#REF!), "")</f>
        <v/>
      </c>
      <c r="G131" s="20" t="s">
        <v>529</v>
      </c>
      <c r="H131" t="s">
        <v>248</v>
      </c>
      <c r="I131" s="6" t="s">
        <v>736</v>
      </c>
      <c r="J131" s="6" t="s">
        <v>751</v>
      </c>
      <c r="K131" s="6">
        <v>2</v>
      </c>
    </row>
    <row r="132" spans="1:11" x14ac:dyDescent="0.25">
      <c r="A132" s="2">
        <v>2</v>
      </c>
      <c r="B132" t="str">
        <f>IFERROR((_xlfn.XLOOKUP(A132,Diretriz!A:A,Diretriz!B:B)),"")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32" s="2" t="s">
        <v>7</v>
      </c>
      <c r="D132" t="str">
        <f>IFERROR((_xlfn.XLOOKUP(C132,Objetivo!C:C,Objetivo!D:D)), "")</f>
        <v>Garantir a integralidade da assistência dos serviços de média e alta complexidade aos usuários do SUS, por meio do fortalecimento das redes de atenção à saúde.</v>
      </c>
      <c r="E132" s="20" t="s">
        <v>58</v>
      </c>
      <c r="F132" s="19" t="str">
        <f>IFERROR(_xlfn.XLOOKUP(E132,#REF!,#REF!), "")</f>
        <v/>
      </c>
      <c r="G132" s="20" t="s">
        <v>530</v>
      </c>
      <c r="H132" t="s">
        <v>249</v>
      </c>
      <c r="I132" s="6" t="s">
        <v>737</v>
      </c>
      <c r="J132" s="6" t="s">
        <v>751</v>
      </c>
      <c r="K132" s="6">
        <v>10</v>
      </c>
    </row>
    <row r="133" spans="1:11" x14ac:dyDescent="0.25">
      <c r="A133" s="2">
        <v>2</v>
      </c>
      <c r="B133" t="str">
        <f>IFERROR((_xlfn.XLOOKUP(A133,Diretriz!A:A,Diretriz!B:B)),"")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33" s="2" t="s">
        <v>7</v>
      </c>
      <c r="D133" t="str">
        <f>IFERROR((_xlfn.XLOOKUP(C133,Objetivo!C:C,Objetivo!D:D)), "")</f>
        <v>Garantir a integralidade da assistência dos serviços de média e alta complexidade aos usuários do SUS, por meio do fortalecimento das redes de atenção à saúde.</v>
      </c>
      <c r="E133" s="20" t="s">
        <v>58</v>
      </c>
      <c r="F133" s="19" t="str">
        <f>IFERROR(_xlfn.XLOOKUP(E133,#REF!,#REF!), "")</f>
        <v/>
      </c>
      <c r="G133" s="20" t="s">
        <v>531</v>
      </c>
      <c r="H133" t="s">
        <v>250</v>
      </c>
      <c r="I133" s="6" t="s">
        <v>738</v>
      </c>
      <c r="J133" s="6" t="s">
        <v>751</v>
      </c>
      <c r="K133" s="6">
        <v>2</v>
      </c>
    </row>
    <row r="134" spans="1:11" x14ac:dyDescent="0.25">
      <c r="A134" s="2">
        <v>2</v>
      </c>
      <c r="B134" t="str">
        <f>IFERROR((_xlfn.XLOOKUP(A134,Diretriz!A:A,Diretriz!B:B)),"")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34" s="2" t="s">
        <v>7</v>
      </c>
      <c r="D134" t="str">
        <f>IFERROR((_xlfn.XLOOKUP(C134,Objetivo!C:C,Objetivo!D:D)), "")</f>
        <v>Garantir a integralidade da assistência dos serviços de média e alta complexidade aos usuários do SUS, por meio do fortalecimento das redes de atenção à saúde.</v>
      </c>
      <c r="E134" s="20" t="s">
        <v>58</v>
      </c>
      <c r="F134" s="19" t="str">
        <f>IFERROR(_xlfn.XLOOKUP(E134,#REF!,#REF!), "")</f>
        <v/>
      </c>
      <c r="G134" s="20" t="s">
        <v>532</v>
      </c>
      <c r="H134" t="s">
        <v>251</v>
      </c>
      <c r="I134" s="6" t="s">
        <v>736</v>
      </c>
      <c r="J134" s="6" t="s">
        <v>751</v>
      </c>
      <c r="K134" s="6">
        <v>2</v>
      </c>
    </row>
    <row r="135" spans="1:11" x14ac:dyDescent="0.25">
      <c r="A135" s="2">
        <v>2</v>
      </c>
      <c r="B135" t="str">
        <f>IFERROR((_xlfn.XLOOKUP(A135,Diretriz!A:A,Diretriz!B:B)),"")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35" s="2" t="s">
        <v>7</v>
      </c>
      <c r="D135" t="str">
        <f>IFERROR((_xlfn.XLOOKUP(C135,Objetivo!C:C,Objetivo!D:D)), "")</f>
        <v>Garantir a integralidade da assistência dos serviços de média e alta complexidade aos usuários do SUS, por meio do fortalecimento das redes de atenção à saúde.</v>
      </c>
      <c r="E135" s="20" t="s">
        <v>58</v>
      </c>
      <c r="F135" s="19" t="str">
        <f>IFERROR(_xlfn.XLOOKUP(E135,#REF!,#REF!), "")</f>
        <v/>
      </c>
      <c r="G135" s="20" t="s">
        <v>533</v>
      </c>
      <c r="H135" t="s">
        <v>252</v>
      </c>
      <c r="I135" s="6" t="s">
        <v>724</v>
      </c>
      <c r="J135" s="6" t="s">
        <v>751</v>
      </c>
      <c r="K135" s="6">
        <v>18</v>
      </c>
    </row>
    <row r="136" spans="1:11" x14ac:dyDescent="0.25">
      <c r="A136" s="2">
        <v>2</v>
      </c>
      <c r="B136" t="str">
        <f>IFERROR((_xlfn.XLOOKUP(A136,Diretriz!A:A,Diretriz!B:B)),"")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36" s="2" t="s">
        <v>7</v>
      </c>
      <c r="D136" t="str">
        <f>IFERROR((_xlfn.XLOOKUP(C136,Objetivo!C:C,Objetivo!D:D)), "")</f>
        <v>Garantir a integralidade da assistência dos serviços de média e alta complexidade aos usuários do SUS, por meio do fortalecimento das redes de atenção à saúde.</v>
      </c>
      <c r="E136" s="20" t="s">
        <v>58</v>
      </c>
      <c r="F136" s="19" t="str">
        <f>IFERROR(_xlfn.XLOOKUP(E136,#REF!,#REF!), "")</f>
        <v/>
      </c>
      <c r="G136" s="20" t="s">
        <v>534</v>
      </c>
      <c r="H136" t="s">
        <v>253</v>
      </c>
      <c r="I136" s="6" t="s">
        <v>736</v>
      </c>
      <c r="J136" s="6" t="s">
        <v>751</v>
      </c>
      <c r="K136" s="6">
        <v>1</v>
      </c>
    </row>
    <row r="137" spans="1:11" x14ac:dyDescent="0.25">
      <c r="A137" s="2">
        <v>2</v>
      </c>
      <c r="B137" t="str">
        <f>IFERROR((_xlfn.XLOOKUP(A137,Diretriz!A:A,Diretriz!B:B)),"")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37" s="2" t="s">
        <v>7</v>
      </c>
      <c r="D137" t="str">
        <f>IFERROR((_xlfn.XLOOKUP(C137,Objetivo!C:C,Objetivo!D:D)), "")</f>
        <v>Garantir a integralidade da assistência dos serviços de média e alta complexidade aos usuários do SUS, por meio do fortalecimento das redes de atenção à saúde.</v>
      </c>
      <c r="E137" s="20" t="s">
        <v>58</v>
      </c>
      <c r="F137" s="19" t="str">
        <f>IFERROR(_xlfn.XLOOKUP(E137,#REF!,#REF!), "")</f>
        <v/>
      </c>
      <c r="G137" s="20" t="s">
        <v>535</v>
      </c>
      <c r="H137" t="s">
        <v>254</v>
      </c>
      <c r="I137" s="6" t="s">
        <v>736</v>
      </c>
      <c r="J137" s="6" t="s">
        <v>751</v>
      </c>
      <c r="K137" s="6">
        <v>2</v>
      </c>
    </row>
    <row r="138" spans="1:11" x14ac:dyDescent="0.25">
      <c r="A138" s="2">
        <v>2</v>
      </c>
      <c r="B138" t="str">
        <f>IFERROR((_xlfn.XLOOKUP(A138,Diretriz!A:A,Diretriz!B:B)),"")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38" s="2" t="s">
        <v>7</v>
      </c>
      <c r="D138" t="str">
        <f>IFERROR((_xlfn.XLOOKUP(C138,Objetivo!C:C,Objetivo!D:D)), "")</f>
        <v>Garantir a integralidade da assistência dos serviços de média e alta complexidade aos usuários do SUS, por meio do fortalecimento das redes de atenção à saúde.</v>
      </c>
      <c r="E138" s="20" t="s">
        <v>58</v>
      </c>
      <c r="F138" s="19" t="str">
        <f>IFERROR(_xlfn.XLOOKUP(E138,#REF!,#REF!), "")</f>
        <v/>
      </c>
      <c r="G138" s="20" t="s">
        <v>536</v>
      </c>
      <c r="H138" t="s">
        <v>255</v>
      </c>
      <c r="I138" s="6" t="s">
        <v>736</v>
      </c>
      <c r="J138" s="6" t="s">
        <v>751</v>
      </c>
      <c r="K138" s="6">
        <v>1</v>
      </c>
    </row>
    <row r="139" spans="1:11" x14ac:dyDescent="0.25">
      <c r="A139" s="2">
        <v>2</v>
      </c>
      <c r="B139" t="str">
        <f>IFERROR((_xlfn.XLOOKUP(A139,Diretriz!A:A,Diretriz!B:B)),"")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39" s="2" t="s">
        <v>7</v>
      </c>
      <c r="D139" t="str">
        <f>IFERROR((_xlfn.XLOOKUP(C139,Objetivo!C:C,Objetivo!D:D)), "")</f>
        <v>Garantir a integralidade da assistência dos serviços de média e alta complexidade aos usuários do SUS, por meio do fortalecimento das redes de atenção à saúde.</v>
      </c>
      <c r="E139" s="20" t="s">
        <v>58</v>
      </c>
      <c r="F139" s="19" t="str">
        <f>IFERROR(_xlfn.XLOOKUP(E139,#REF!,#REF!), "")</f>
        <v/>
      </c>
      <c r="G139" s="20" t="s">
        <v>537</v>
      </c>
      <c r="H139" t="s">
        <v>256</v>
      </c>
      <c r="I139" s="6" t="s">
        <v>736</v>
      </c>
      <c r="J139" s="6" t="s">
        <v>751</v>
      </c>
      <c r="K139" s="6">
        <v>1</v>
      </c>
    </row>
    <row r="140" spans="1:11" x14ac:dyDescent="0.25">
      <c r="A140" s="2">
        <v>2</v>
      </c>
      <c r="B140" t="str">
        <f>IFERROR((_xlfn.XLOOKUP(A140,Diretriz!A:A,Diretriz!B:B)),"")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40" s="2" t="s">
        <v>7</v>
      </c>
      <c r="D140" t="str">
        <f>IFERROR((_xlfn.XLOOKUP(C140,Objetivo!C:C,Objetivo!D:D)), "")</f>
        <v>Garantir a integralidade da assistência dos serviços de média e alta complexidade aos usuários do SUS, por meio do fortalecimento das redes de atenção à saúde.</v>
      </c>
      <c r="E140" s="20" t="s">
        <v>58</v>
      </c>
      <c r="F140" s="19" t="str">
        <f>IFERROR(_xlfn.XLOOKUP(E140,#REF!,#REF!), "")</f>
        <v/>
      </c>
      <c r="G140" s="20" t="s">
        <v>538</v>
      </c>
      <c r="H140" t="s">
        <v>257</v>
      </c>
      <c r="I140" s="6" t="s">
        <v>739</v>
      </c>
      <c r="J140" s="6" t="s">
        <v>751</v>
      </c>
      <c r="K140" s="6">
        <v>1</v>
      </c>
    </row>
    <row r="141" spans="1:11" x14ac:dyDescent="0.25">
      <c r="A141" s="2">
        <v>2</v>
      </c>
      <c r="B141" t="str">
        <f>IFERROR((_xlfn.XLOOKUP(A141,Diretriz!A:A,Diretriz!B:B)),"")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41" s="2" t="s">
        <v>7</v>
      </c>
      <c r="D141" t="str">
        <f>IFERROR((_xlfn.XLOOKUP(C141,Objetivo!C:C,Objetivo!D:D)), "")</f>
        <v>Garantir a integralidade da assistência dos serviços de média e alta complexidade aos usuários do SUS, por meio do fortalecimento das redes de atenção à saúde.</v>
      </c>
      <c r="E141" s="20" t="s">
        <v>58</v>
      </c>
      <c r="F141" s="19" t="str">
        <f>IFERROR(_xlfn.XLOOKUP(E141,#REF!,#REF!), "")</f>
        <v/>
      </c>
      <c r="G141" s="20" t="s">
        <v>539</v>
      </c>
      <c r="H141" t="s">
        <v>258</v>
      </c>
      <c r="I141" s="6" t="s">
        <v>736</v>
      </c>
      <c r="J141" s="6" t="s">
        <v>751</v>
      </c>
      <c r="K141" s="6">
        <v>1</v>
      </c>
    </row>
    <row r="142" spans="1:11" x14ac:dyDescent="0.25">
      <c r="A142" s="2">
        <v>2</v>
      </c>
      <c r="B142" t="str">
        <f>IFERROR((_xlfn.XLOOKUP(A142,Diretriz!A:A,Diretriz!B:B)),"")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42" s="2" t="s">
        <v>7</v>
      </c>
      <c r="D142" t="str">
        <f>IFERROR((_xlfn.XLOOKUP(C142,Objetivo!C:C,Objetivo!D:D)), "")</f>
        <v>Garantir a integralidade da assistência dos serviços de média e alta complexidade aos usuários do SUS, por meio do fortalecimento das redes de atenção à saúde.</v>
      </c>
      <c r="E142" s="20" t="s">
        <v>58</v>
      </c>
      <c r="F142" s="19" t="str">
        <f>IFERROR(_xlfn.XLOOKUP(E142,#REF!,#REF!), "")</f>
        <v/>
      </c>
      <c r="G142" s="20" t="s">
        <v>540</v>
      </c>
      <c r="H142" t="s">
        <v>259</v>
      </c>
      <c r="I142" s="6" t="s">
        <v>738</v>
      </c>
      <c r="J142" s="6" t="s">
        <v>751</v>
      </c>
      <c r="K142" s="6">
        <v>2</v>
      </c>
    </row>
    <row r="143" spans="1:11" x14ac:dyDescent="0.25">
      <c r="A143" s="2">
        <v>2</v>
      </c>
      <c r="B143" t="str">
        <f>IFERROR((_xlfn.XLOOKUP(A143,Diretriz!A:A,Diretriz!B:B)),"")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43" s="2" t="s">
        <v>7</v>
      </c>
      <c r="D143" t="str">
        <f>IFERROR((_xlfn.XLOOKUP(C143,Objetivo!C:C,Objetivo!D:D)), "")</f>
        <v>Garantir a integralidade da assistência dos serviços de média e alta complexidade aos usuários do SUS, por meio do fortalecimento das redes de atenção à saúde.</v>
      </c>
      <c r="E143" s="20" t="s">
        <v>58</v>
      </c>
      <c r="F143" s="19" t="str">
        <f>IFERROR(_xlfn.XLOOKUP(E143,#REF!,#REF!), "")</f>
        <v/>
      </c>
      <c r="G143" s="20" t="s">
        <v>541</v>
      </c>
      <c r="H143" t="s">
        <v>260</v>
      </c>
      <c r="I143" s="6" t="s">
        <v>740</v>
      </c>
      <c r="J143" s="6" t="s">
        <v>751</v>
      </c>
      <c r="K143" s="6">
        <v>1</v>
      </c>
    </row>
    <row r="144" spans="1:11" x14ac:dyDescent="0.25">
      <c r="A144" s="2">
        <v>2</v>
      </c>
      <c r="B144" t="str">
        <f>IFERROR((_xlfn.XLOOKUP(A144,Diretriz!A:A,Diretriz!B:B)),"")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44" s="2" t="s">
        <v>7</v>
      </c>
      <c r="D144" t="str">
        <f>IFERROR((_xlfn.XLOOKUP(C144,Objetivo!C:C,Objetivo!D:D)), "")</f>
        <v>Garantir a integralidade da assistência dos serviços de média e alta complexidade aos usuários do SUS, por meio do fortalecimento das redes de atenção à saúde.</v>
      </c>
      <c r="E144" s="20" t="s">
        <v>58</v>
      </c>
      <c r="F144" s="19" t="str">
        <f>IFERROR(_xlfn.XLOOKUP(E144,#REF!,#REF!), "")</f>
        <v/>
      </c>
      <c r="G144" s="20" t="s">
        <v>542</v>
      </c>
      <c r="H144" t="s">
        <v>261</v>
      </c>
      <c r="I144" s="6" t="s">
        <v>741</v>
      </c>
      <c r="J144" s="6" t="s">
        <v>751</v>
      </c>
      <c r="K144" s="6">
        <v>760</v>
      </c>
    </row>
    <row r="145" spans="1:11" x14ac:dyDescent="0.25">
      <c r="A145" s="2">
        <v>2</v>
      </c>
      <c r="B145" t="str">
        <f>IFERROR((_xlfn.XLOOKUP(A145,Diretriz!A:A,Diretriz!B:B)),"")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45" s="2" t="s">
        <v>7</v>
      </c>
      <c r="D145" t="str">
        <f>IFERROR((_xlfn.XLOOKUP(C145,Objetivo!C:C,Objetivo!D:D)), "")</f>
        <v>Garantir a integralidade da assistência dos serviços de média e alta complexidade aos usuários do SUS, por meio do fortalecimento das redes de atenção à saúde.</v>
      </c>
      <c r="E145" s="20" t="s">
        <v>58</v>
      </c>
      <c r="F145" s="19" t="str">
        <f>IFERROR(_xlfn.XLOOKUP(E145,#REF!,#REF!), "")</f>
        <v/>
      </c>
      <c r="G145" s="20" t="s">
        <v>543</v>
      </c>
      <c r="H145" t="s">
        <v>262</v>
      </c>
      <c r="I145" s="6" t="s">
        <v>742</v>
      </c>
      <c r="J145" s="6" t="s">
        <v>751</v>
      </c>
      <c r="K145" s="6">
        <v>3</v>
      </c>
    </row>
    <row r="146" spans="1:11" x14ac:dyDescent="0.25">
      <c r="A146" s="2">
        <v>2</v>
      </c>
      <c r="B146" t="str">
        <f>IFERROR((_xlfn.XLOOKUP(A146,Diretriz!A:A,Diretriz!B:B)),"")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46" s="2" t="s">
        <v>7</v>
      </c>
      <c r="D146" t="str">
        <f>IFERROR((_xlfn.XLOOKUP(C146,Objetivo!C:C,Objetivo!D:D)), "")</f>
        <v>Garantir a integralidade da assistência dos serviços de média e alta complexidade aos usuários do SUS, por meio do fortalecimento das redes de atenção à saúde.</v>
      </c>
      <c r="E146" s="20" t="s">
        <v>58</v>
      </c>
      <c r="F146" s="19" t="str">
        <f>IFERROR(_xlfn.XLOOKUP(E146,#REF!,#REF!), "")</f>
        <v/>
      </c>
      <c r="G146" s="20" t="s">
        <v>544</v>
      </c>
      <c r="H146" t="s">
        <v>263</v>
      </c>
      <c r="I146" s="6" t="s">
        <v>728</v>
      </c>
      <c r="J146" s="6" t="s">
        <v>751</v>
      </c>
      <c r="K146" s="6">
        <v>2230</v>
      </c>
    </row>
    <row r="147" spans="1:11" x14ac:dyDescent="0.25">
      <c r="A147" s="2">
        <v>2</v>
      </c>
      <c r="B147" t="str">
        <f>IFERROR((_xlfn.XLOOKUP(A147,Diretriz!A:A,Diretriz!B:B)),"")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47" s="2" t="s">
        <v>7</v>
      </c>
      <c r="D147" t="str">
        <f>IFERROR((_xlfn.XLOOKUP(C147,Objetivo!C:C,Objetivo!D:D)), "")</f>
        <v>Garantir a integralidade da assistência dos serviços de média e alta complexidade aos usuários do SUS, por meio do fortalecimento das redes de atenção à saúde.</v>
      </c>
      <c r="E147" s="20" t="s">
        <v>58</v>
      </c>
      <c r="F147" s="19" t="str">
        <f>IFERROR(_xlfn.XLOOKUP(E147,#REF!,#REF!), "")</f>
        <v/>
      </c>
      <c r="G147" s="20" t="s">
        <v>545</v>
      </c>
      <c r="H147" t="s">
        <v>264</v>
      </c>
      <c r="I147" s="6" t="s">
        <v>728</v>
      </c>
      <c r="J147" s="6" t="s">
        <v>751</v>
      </c>
      <c r="K147" s="6">
        <v>6160</v>
      </c>
    </row>
    <row r="148" spans="1:11" x14ac:dyDescent="0.25">
      <c r="A148" s="2">
        <v>2</v>
      </c>
      <c r="B148" t="str">
        <f>IFERROR((_xlfn.XLOOKUP(A148,Diretriz!A:A,Diretriz!B:B)),"")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48" s="2" t="s">
        <v>7</v>
      </c>
      <c r="D148" t="str">
        <f>IFERROR((_xlfn.XLOOKUP(C148,Objetivo!C:C,Objetivo!D:D)), "")</f>
        <v>Garantir a integralidade da assistência dos serviços de média e alta complexidade aos usuários do SUS, por meio do fortalecimento das redes de atenção à saúde.</v>
      </c>
      <c r="E148" s="20" t="s">
        <v>58</v>
      </c>
      <c r="F148" s="19" t="str">
        <f>IFERROR(_xlfn.XLOOKUP(E148,#REF!,#REF!), "")</f>
        <v/>
      </c>
      <c r="G148" s="20" t="s">
        <v>546</v>
      </c>
      <c r="H148" t="s">
        <v>265</v>
      </c>
      <c r="I148" s="6" t="s">
        <v>728</v>
      </c>
      <c r="J148" s="6" t="s">
        <v>751</v>
      </c>
      <c r="K148" s="6">
        <v>3870</v>
      </c>
    </row>
    <row r="149" spans="1:11" x14ac:dyDescent="0.25">
      <c r="A149" s="2">
        <v>2</v>
      </c>
      <c r="B149" t="str">
        <f>IFERROR((_xlfn.XLOOKUP(A149,Diretriz!A:A,Diretriz!B:B)),"")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49" s="2" t="s">
        <v>7</v>
      </c>
      <c r="D149" t="str">
        <f>IFERROR((_xlfn.XLOOKUP(C149,Objetivo!C:C,Objetivo!D:D)), "")</f>
        <v>Garantir a integralidade da assistência dos serviços de média e alta complexidade aos usuários do SUS, por meio do fortalecimento das redes de atenção à saúde.</v>
      </c>
      <c r="E149" s="20" t="s">
        <v>59</v>
      </c>
      <c r="F149" s="19" t="str">
        <f>IFERROR(_xlfn.XLOOKUP(E149,#REF!,#REF!), "")</f>
        <v/>
      </c>
      <c r="G149" s="20" t="s">
        <v>547</v>
      </c>
      <c r="H149" t="s">
        <v>266</v>
      </c>
      <c r="I149" s="6" t="s">
        <v>743</v>
      </c>
      <c r="J149" s="6" t="s">
        <v>751</v>
      </c>
      <c r="K149" s="6">
        <v>1</v>
      </c>
    </row>
    <row r="150" spans="1:11" x14ac:dyDescent="0.25">
      <c r="A150" s="2">
        <v>2</v>
      </c>
      <c r="B150" t="str">
        <f>IFERROR((_xlfn.XLOOKUP(A150,Diretriz!A:A,Diretriz!B:B)),"")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50" s="2" t="s">
        <v>7</v>
      </c>
      <c r="D150" t="str">
        <f>IFERROR((_xlfn.XLOOKUP(C150,Objetivo!C:C,Objetivo!D:D)), "")</f>
        <v>Garantir a integralidade da assistência dos serviços de média e alta complexidade aos usuários do SUS, por meio do fortalecimento das redes de atenção à saúde.</v>
      </c>
      <c r="E150" s="20" t="s">
        <v>59</v>
      </c>
      <c r="F150" s="19" t="str">
        <f>IFERROR(_xlfn.XLOOKUP(E150,#REF!,#REF!), "")</f>
        <v/>
      </c>
      <c r="G150" s="20" t="s">
        <v>548</v>
      </c>
      <c r="H150" t="s">
        <v>267</v>
      </c>
      <c r="I150" s="6" t="s">
        <v>745</v>
      </c>
      <c r="J150" s="6" t="s">
        <v>751</v>
      </c>
      <c r="K150" s="6">
        <v>1</v>
      </c>
    </row>
    <row r="151" spans="1:11" x14ac:dyDescent="0.25">
      <c r="A151" s="2">
        <v>2</v>
      </c>
      <c r="B151" t="str">
        <f>IFERROR((_xlfn.XLOOKUP(A151,Diretriz!A:A,Diretriz!B:B)),"")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51" s="2" t="s">
        <v>7</v>
      </c>
      <c r="D151" t="str">
        <f>IFERROR((_xlfn.XLOOKUP(C151,Objetivo!C:C,Objetivo!D:D)), "")</f>
        <v>Garantir a integralidade da assistência dos serviços de média e alta complexidade aos usuários do SUS, por meio do fortalecimento das redes de atenção à saúde.</v>
      </c>
      <c r="E151" s="20" t="s">
        <v>59</v>
      </c>
      <c r="F151" s="19" t="str">
        <f>IFERROR(_xlfn.XLOOKUP(E151,#REF!,#REF!), "")</f>
        <v/>
      </c>
      <c r="G151" s="20" t="s">
        <v>549</v>
      </c>
      <c r="H151" t="s">
        <v>268</v>
      </c>
      <c r="I151" s="6" t="s">
        <v>744</v>
      </c>
      <c r="J151" s="6" t="s">
        <v>751</v>
      </c>
      <c r="K151" s="6">
        <v>1</v>
      </c>
    </row>
    <row r="152" spans="1:11" x14ac:dyDescent="0.25">
      <c r="A152" s="2">
        <v>2</v>
      </c>
      <c r="B152" t="str">
        <f>IFERROR((_xlfn.XLOOKUP(A152,Diretriz!A:A,Diretriz!B:B)),"")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52" s="2" t="s">
        <v>7</v>
      </c>
      <c r="D152" t="str">
        <f>IFERROR((_xlfn.XLOOKUP(C152,Objetivo!C:C,Objetivo!D:D)), "")</f>
        <v>Garantir a integralidade da assistência dos serviços de média e alta complexidade aos usuários do SUS, por meio do fortalecimento das redes de atenção à saúde.</v>
      </c>
      <c r="E152" s="20" t="s">
        <v>59</v>
      </c>
      <c r="F152" s="19" t="str">
        <f>IFERROR(_xlfn.XLOOKUP(E152,#REF!,#REF!), "")</f>
        <v/>
      </c>
      <c r="G152" s="20" t="s">
        <v>550</v>
      </c>
      <c r="H152" t="s">
        <v>269</v>
      </c>
      <c r="I152" s="6" t="s">
        <v>746</v>
      </c>
      <c r="J152" s="6" t="s">
        <v>751</v>
      </c>
      <c r="K152" s="6">
        <v>8</v>
      </c>
    </row>
    <row r="153" spans="1:11" x14ac:dyDescent="0.25">
      <c r="A153" s="2">
        <v>2</v>
      </c>
      <c r="B153" t="str">
        <f>IFERROR((_xlfn.XLOOKUP(A153,Diretriz!A:A,Diretriz!B:B)),"")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53" s="2" t="s">
        <v>7</v>
      </c>
      <c r="D153" t="str">
        <f>IFERROR((_xlfn.XLOOKUP(C153,Objetivo!C:C,Objetivo!D:D)), "")</f>
        <v>Garantir a integralidade da assistência dos serviços de média e alta complexidade aos usuários do SUS, por meio do fortalecimento das redes de atenção à saúde.</v>
      </c>
      <c r="E153" s="20" t="s">
        <v>59</v>
      </c>
      <c r="F153" s="19" t="str">
        <f>IFERROR(_xlfn.XLOOKUP(E153,#REF!,#REF!), "")</f>
        <v/>
      </c>
      <c r="G153" s="20" t="s">
        <v>551</v>
      </c>
      <c r="H153" t="s">
        <v>270</v>
      </c>
      <c r="I153" s="6" t="s">
        <v>747</v>
      </c>
      <c r="J153" s="6" t="s">
        <v>751</v>
      </c>
      <c r="K153" s="6">
        <v>129378</v>
      </c>
    </row>
    <row r="154" spans="1:11" x14ac:dyDescent="0.25">
      <c r="A154" s="2">
        <v>2</v>
      </c>
      <c r="B154" t="str">
        <f>IFERROR((_xlfn.XLOOKUP(A154,Diretriz!A:A,Diretriz!B:B)),"")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54" s="2" t="s">
        <v>7</v>
      </c>
      <c r="D154" t="str">
        <f>IFERROR((_xlfn.XLOOKUP(C154,Objetivo!C:C,Objetivo!D:D)), "")</f>
        <v>Garantir a integralidade da assistência dos serviços de média e alta complexidade aos usuários do SUS, por meio do fortalecimento das redes de atenção à saúde.</v>
      </c>
      <c r="E154" s="20" t="s">
        <v>60</v>
      </c>
      <c r="F154" s="19" t="str">
        <f>IFERROR(_xlfn.XLOOKUP(E154,#REF!,#REF!), "")</f>
        <v/>
      </c>
      <c r="G154" s="20" t="s">
        <v>552</v>
      </c>
      <c r="H154" t="s">
        <v>271</v>
      </c>
      <c r="I154" s="6" t="s">
        <v>748</v>
      </c>
      <c r="J154" s="6" t="s">
        <v>751</v>
      </c>
      <c r="K154" s="6">
        <v>4120</v>
      </c>
    </row>
    <row r="155" spans="1:11" x14ac:dyDescent="0.25">
      <c r="A155" s="2">
        <v>2</v>
      </c>
      <c r="B155" t="str">
        <f>IFERROR((_xlfn.XLOOKUP(A155,Diretriz!A:A,Diretriz!B:B)),"")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55" s="2" t="s">
        <v>7</v>
      </c>
      <c r="D155" t="str">
        <f>IFERROR((_xlfn.XLOOKUP(C155,Objetivo!C:C,Objetivo!D:D)), "")</f>
        <v>Garantir a integralidade da assistência dos serviços de média e alta complexidade aos usuários do SUS, por meio do fortalecimento das redes de atenção à saúde.</v>
      </c>
      <c r="E155" s="20" t="s">
        <v>60</v>
      </c>
      <c r="F155" s="19" t="str">
        <f>IFERROR(_xlfn.XLOOKUP(E155,#REF!,#REF!), "")</f>
        <v/>
      </c>
      <c r="G155" s="20" t="s">
        <v>553</v>
      </c>
      <c r="H155" t="s">
        <v>272</v>
      </c>
      <c r="I155" s="6" t="s">
        <v>749</v>
      </c>
      <c r="J155" s="6" t="s">
        <v>751</v>
      </c>
      <c r="K155" s="6">
        <v>520000</v>
      </c>
    </row>
    <row r="156" spans="1:11" x14ac:dyDescent="0.25">
      <c r="A156" s="2">
        <v>2</v>
      </c>
      <c r="B156" t="str">
        <f>IFERROR((_xlfn.XLOOKUP(A156,Diretriz!A:A,Diretriz!B:B)),"")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56" s="2" t="s">
        <v>7</v>
      </c>
      <c r="D156" t="str">
        <f>IFERROR((_xlfn.XLOOKUP(C156,Objetivo!C:C,Objetivo!D:D)), "")</f>
        <v>Garantir a integralidade da assistência dos serviços de média e alta complexidade aos usuários do SUS, por meio do fortalecimento das redes de atenção à saúde.</v>
      </c>
      <c r="E156" s="20" t="s">
        <v>60</v>
      </c>
      <c r="F156" s="19" t="str">
        <f>IFERROR(_xlfn.XLOOKUP(E156,#REF!,#REF!), "")</f>
        <v/>
      </c>
      <c r="G156" s="20" t="s">
        <v>554</v>
      </c>
      <c r="H156" t="s">
        <v>273</v>
      </c>
      <c r="I156" s="6" t="s">
        <v>743</v>
      </c>
      <c r="J156" s="6" t="s">
        <v>751</v>
      </c>
      <c r="K156" s="6">
        <v>6</v>
      </c>
    </row>
    <row r="157" spans="1:11" x14ac:dyDescent="0.25">
      <c r="A157" s="2">
        <v>2</v>
      </c>
      <c r="B157" t="str">
        <f>IFERROR((_xlfn.XLOOKUP(A157,Diretriz!A:A,Diretriz!B:B)),"")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57" s="2" t="s">
        <v>7</v>
      </c>
      <c r="D157" t="str">
        <f>IFERROR((_xlfn.XLOOKUP(C157,Objetivo!C:C,Objetivo!D:D)), "")</f>
        <v>Garantir a integralidade da assistência dos serviços de média e alta complexidade aos usuários do SUS, por meio do fortalecimento das redes de atenção à saúde.</v>
      </c>
      <c r="E157" s="20" t="s">
        <v>61</v>
      </c>
      <c r="F157" s="19" t="str">
        <f>IFERROR(_xlfn.XLOOKUP(E157,#REF!,#REF!), "")</f>
        <v/>
      </c>
      <c r="G157" s="20" t="s">
        <v>555</v>
      </c>
      <c r="H157" t="s">
        <v>274</v>
      </c>
      <c r="I157" s="6" t="s">
        <v>750</v>
      </c>
      <c r="J157" s="6" t="s">
        <v>752</v>
      </c>
      <c r="K157" s="6">
        <v>70</v>
      </c>
    </row>
    <row r="158" spans="1:11" x14ac:dyDescent="0.25">
      <c r="A158" s="2">
        <v>2</v>
      </c>
      <c r="B158" t="str">
        <f>IFERROR((_xlfn.XLOOKUP(A158,Diretriz!A:A,Diretriz!B:B)),"")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58" s="2" t="s">
        <v>7</v>
      </c>
      <c r="D158" t="str">
        <f>IFERROR((_xlfn.XLOOKUP(C158,Objetivo!C:C,Objetivo!D:D)), "")</f>
        <v>Garantir a integralidade da assistência dos serviços de média e alta complexidade aos usuários do SUS, por meio do fortalecimento das redes de atenção à saúde.</v>
      </c>
      <c r="E158" s="20" t="s">
        <v>61</v>
      </c>
      <c r="F158" s="19" t="str">
        <f>IFERROR(_xlfn.XLOOKUP(E158,#REF!,#REF!), "")</f>
        <v/>
      </c>
      <c r="G158" s="20" t="s">
        <v>556</v>
      </c>
      <c r="H158" t="s">
        <v>275</v>
      </c>
      <c r="I158" s="6" t="s">
        <v>750</v>
      </c>
      <c r="J158" s="6" t="s">
        <v>752</v>
      </c>
      <c r="K158" s="6">
        <v>80</v>
      </c>
    </row>
    <row r="159" spans="1:11" x14ac:dyDescent="0.25">
      <c r="A159" s="2">
        <v>2</v>
      </c>
      <c r="B159" t="str">
        <f>IFERROR((_xlfn.XLOOKUP(A159,Diretriz!A:A,Diretriz!B:B)),"")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59" s="2" t="s">
        <v>7</v>
      </c>
      <c r="D159" t="str">
        <f>IFERROR((_xlfn.XLOOKUP(C159,Objetivo!C:C,Objetivo!D:D)), "")</f>
        <v>Garantir a integralidade da assistência dos serviços de média e alta complexidade aos usuários do SUS, por meio do fortalecimento das redes de atenção à saúde.</v>
      </c>
      <c r="E159" s="20" t="s">
        <v>61</v>
      </c>
      <c r="F159" s="19" t="str">
        <f>IFERROR(_xlfn.XLOOKUP(E159,#REF!,#REF!), "")</f>
        <v/>
      </c>
      <c r="G159" s="20" t="s">
        <v>557</v>
      </c>
      <c r="H159" t="s">
        <v>276</v>
      </c>
      <c r="I159" s="6" t="s">
        <v>753</v>
      </c>
      <c r="J159" s="6" t="s">
        <v>751</v>
      </c>
      <c r="K159" s="6">
        <v>2</v>
      </c>
    </row>
    <row r="160" spans="1:11" x14ac:dyDescent="0.25">
      <c r="A160" s="2">
        <v>2</v>
      </c>
      <c r="B160" t="str">
        <f>IFERROR((_xlfn.XLOOKUP(A160,Diretriz!A:A,Diretriz!B:B)),"")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60" s="2" t="s">
        <v>7</v>
      </c>
      <c r="D160" t="str">
        <f>IFERROR((_xlfn.XLOOKUP(C160,Objetivo!C:C,Objetivo!D:D)), "")</f>
        <v>Garantir a integralidade da assistência dos serviços de média e alta complexidade aos usuários do SUS, por meio do fortalecimento das redes de atenção à saúde.</v>
      </c>
      <c r="E160" s="20" t="s">
        <v>62</v>
      </c>
      <c r="F160" s="19" t="str">
        <f>IFERROR(_xlfn.XLOOKUP(E160,#REF!,#REF!), "")</f>
        <v/>
      </c>
      <c r="G160" s="20" t="s">
        <v>558</v>
      </c>
      <c r="H160" t="s">
        <v>277</v>
      </c>
      <c r="I160" s="6" t="s">
        <v>761</v>
      </c>
      <c r="J160" s="6" t="s">
        <v>752</v>
      </c>
      <c r="K160" s="6">
        <v>80</v>
      </c>
    </row>
    <row r="161" spans="1:11" x14ac:dyDescent="0.25">
      <c r="A161" s="2">
        <v>2</v>
      </c>
      <c r="B161" t="str">
        <f>IFERROR((_xlfn.XLOOKUP(A161,Diretriz!A:A,Diretriz!B:B)),"")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61" s="2" t="s">
        <v>7</v>
      </c>
      <c r="D161" t="str">
        <f>IFERROR((_xlfn.XLOOKUP(C161,Objetivo!C:C,Objetivo!D:D)), "")</f>
        <v>Garantir a integralidade da assistência dos serviços de média e alta complexidade aos usuários do SUS, por meio do fortalecimento das redes de atenção à saúde.</v>
      </c>
      <c r="E161" s="20" t="s">
        <v>62</v>
      </c>
      <c r="F161" s="19" t="str">
        <f>IFERROR(_xlfn.XLOOKUP(E161,#REF!,#REF!), "")</f>
        <v/>
      </c>
      <c r="G161" s="20" t="s">
        <v>559</v>
      </c>
      <c r="H161" t="s">
        <v>278</v>
      </c>
      <c r="I161" s="6" t="s">
        <v>723</v>
      </c>
      <c r="J161" s="6" t="s">
        <v>751</v>
      </c>
      <c r="K161" s="6">
        <v>12</v>
      </c>
    </row>
    <row r="162" spans="1:11" x14ac:dyDescent="0.25">
      <c r="A162" s="2">
        <v>2</v>
      </c>
      <c r="B162" t="str">
        <f>IFERROR((_xlfn.XLOOKUP(A162,Diretriz!A:A,Diretriz!B:B)),"")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62" s="2" t="s">
        <v>7</v>
      </c>
      <c r="D162" t="str">
        <f>IFERROR((_xlfn.XLOOKUP(C162,Objetivo!C:C,Objetivo!D:D)), "")</f>
        <v>Garantir a integralidade da assistência dos serviços de média e alta complexidade aos usuários do SUS, por meio do fortalecimento das redes de atenção à saúde.</v>
      </c>
      <c r="E162" s="20" t="s">
        <v>62</v>
      </c>
      <c r="F162" s="19" t="str">
        <f>IFERROR(_xlfn.XLOOKUP(E162,#REF!,#REF!), "")</f>
        <v/>
      </c>
      <c r="G162" s="20" t="s">
        <v>560</v>
      </c>
      <c r="H162" t="s">
        <v>279</v>
      </c>
      <c r="I162" s="6" t="s">
        <v>754</v>
      </c>
      <c r="J162" s="6" t="s">
        <v>752</v>
      </c>
      <c r="K162" s="6">
        <v>100</v>
      </c>
    </row>
    <row r="163" spans="1:11" x14ac:dyDescent="0.25">
      <c r="A163" s="2">
        <v>2</v>
      </c>
      <c r="B163" t="str">
        <f>IFERROR((_xlfn.XLOOKUP(A163,Diretriz!A:A,Diretriz!B:B)),"")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63" s="2" t="s">
        <v>7</v>
      </c>
      <c r="D163" t="str">
        <f>IFERROR((_xlfn.XLOOKUP(C163,Objetivo!C:C,Objetivo!D:D)), "")</f>
        <v>Garantir a integralidade da assistência dos serviços de média e alta complexidade aos usuários do SUS, por meio do fortalecimento das redes de atenção à saúde.</v>
      </c>
      <c r="E163" s="20" t="s">
        <v>62</v>
      </c>
      <c r="F163" s="19" t="str">
        <f>IFERROR(_xlfn.XLOOKUP(E163,#REF!,#REF!), "")</f>
        <v/>
      </c>
      <c r="G163" s="20" t="s">
        <v>561</v>
      </c>
      <c r="H163" t="s">
        <v>280</v>
      </c>
      <c r="I163" s="6" t="s">
        <v>755</v>
      </c>
      <c r="J163" s="6" t="s">
        <v>752</v>
      </c>
      <c r="K163" s="6">
        <v>10</v>
      </c>
    </row>
    <row r="164" spans="1:11" x14ac:dyDescent="0.25">
      <c r="A164" s="2">
        <v>2</v>
      </c>
      <c r="B164" t="str">
        <f>IFERROR((_xlfn.XLOOKUP(A164,Diretriz!A:A,Diretriz!B:B)),"")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64" s="2" t="s">
        <v>7</v>
      </c>
      <c r="D164" t="str">
        <f>IFERROR((_xlfn.XLOOKUP(C164,Objetivo!C:C,Objetivo!D:D)), "")</f>
        <v>Garantir a integralidade da assistência dos serviços de média e alta complexidade aos usuários do SUS, por meio do fortalecimento das redes de atenção à saúde.</v>
      </c>
      <c r="E164" s="20" t="s">
        <v>63</v>
      </c>
      <c r="F164" s="19" t="str">
        <f>IFERROR(_xlfn.XLOOKUP(E164,#REF!,#REF!), "")</f>
        <v/>
      </c>
      <c r="G164" s="20" t="s">
        <v>562</v>
      </c>
      <c r="H164" t="s">
        <v>281</v>
      </c>
      <c r="I164" s="6" t="s">
        <v>758</v>
      </c>
      <c r="J164" s="6" t="s">
        <v>752</v>
      </c>
      <c r="K164" s="6">
        <v>90</v>
      </c>
    </row>
    <row r="165" spans="1:11" x14ac:dyDescent="0.25">
      <c r="A165" s="2">
        <v>2</v>
      </c>
      <c r="B165" t="str">
        <f>IFERROR((_xlfn.XLOOKUP(A165,Diretriz!A:A,Diretriz!B:B)),"")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65" s="2" t="s">
        <v>7</v>
      </c>
      <c r="D165" t="str">
        <f>IFERROR((_xlfn.XLOOKUP(C165,Objetivo!C:C,Objetivo!D:D)), "")</f>
        <v>Garantir a integralidade da assistência dos serviços de média e alta complexidade aos usuários do SUS, por meio do fortalecimento das redes de atenção à saúde.</v>
      </c>
      <c r="E165" s="20" t="s">
        <v>63</v>
      </c>
      <c r="F165" s="19" t="str">
        <f>IFERROR(_xlfn.XLOOKUP(E165,#REF!,#REF!), "")</f>
        <v/>
      </c>
      <c r="G165" s="20" t="s">
        <v>563</v>
      </c>
      <c r="H165" t="s">
        <v>282</v>
      </c>
      <c r="I165" s="6" t="s">
        <v>759</v>
      </c>
      <c r="J165" s="6" t="s">
        <v>752</v>
      </c>
      <c r="K165" s="6">
        <v>100</v>
      </c>
    </row>
    <row r="166" spans="1:11" x14ac:dyDescent="0.25">
      <c r="A166" s="2">
        <v>2</v>
      </c>
      <c r="B166" t="str">
        <f>IFERROR((_xlfn.XLOOKUP(A166,Diretriz!A:A,Diretriz!B:B)),"")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66" s="2" t="s">
        <v>7</v>
      </c>
      <c r="D166" t="str">
        <f>IFERROR((_xlfn.XLOOKUP(C166,Objetivo!C:C,Objetivo!D:D)), "")</f>
        <v>Garantir a integralidade da assistência dos serviços de média e alta complexidade aos usuários do SUS, por meio do fortalecimento das redes de atenção à saúde.</v>
      </c>
      <c r="E166" s="20" t="s">
        <v>63</v>
      </c>
      <c r="F166" s="19" t="str">
        <f>IFERROR(_xlfn.XLOOKUP(E166,#REF!,#REF!), "")</f>
        <v/>
      </c>
      <c r="G166" s="20" t="s">
        <v>564</v>
      </c>
      <c r="H166" t="s">
        <v>283</v>
      </c>
      <c r="I166" s="6" t="s">
        <v>756</v>
      </c>
      <c r="J166" s="6" t="s">
        <v>751</v>
      </c>
      <c r="K166" s="6">
        <v>1</v>
      </c>
    </row>
    <row r="167" spans="1:11" x14ac:dyDescent="0.25">
      <c r="A167" s="2">
        <v>2</v>
      </c>
      <c r="B167" t="str">
        <f>IFERROR((_xlfn.XLOOKUP(A167,Diretriz!A:A,Diretriz!B:B)),"")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67" s="2" t="s">
        <v>7</v>
      </c>
      <c r="D167" t="str">
        <f>IFERROR((_xlfn.XLOOKUP(C167,Objetivo!C:C,Objetivo!D:D)), "")</f>
        <v>Garantir a integralidade da assistência dos serviços de média e alta complexidade aos usuários do SUS, por meio do fortalecimento das redes de atenção à saúde.</v>
      </c>
      <c r="E167" s="20" t="s">
        <v>63</v>
      </c>
      <c r="F167" s="19" t="str">
        <f>IFERROR(_xlfn.XLOOKUP(E167,#REF!,#REF!), "")</f>
        <v/>
      </c>
      <c r="G167" s="20" t="s">
        <v>565</v>
      </c>
      <c r="H167" t="s">
        <v>284</v>
      </c>
      <c r="I167" s="6" t="s">
        <v>757</v>
      </c>
      <c r="J167" s="6" t="s">
        <v>751</v>
      </c>
      <c r="K167" s="6">
        <v>1</v>
      </c>
    </row>
    <row r="168" spans="1:11" x14ac:dyDescent="0.25">
      <c r="A168" s="2">
        <v>2</v>
      </c>
      <c r="B168" t="str">
        <f>IFERROR((_xlfn.XLOOKUP(A168,Diretriz!A:A,Diretriz!B:B)),"")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68" s="2" t="s">
        <v>7</v>
      </c>
      <c r="D168" t="str">
        <f>IFERROR((_xlfn.XLOOKUP(C168,Objetivo!C:C,Objetivo!D:D)), "")</f>
        <v>Garantir a integralidade da assistência dos serviços de média e alta complexidade aos usuários do SUS, por meio do fortalecimento das redes de atenção à saúde.</v>
      </c>
      <c r="E168" s="20" t="s">
        <v>64</v>
      </c>
      <c r="F168" s="19" t="str">
        <f>IFERROR(_xlfn.XLOOKUP(E168,#REF!,#REF!), "")</f>
        <v/>
      </c>
      <c r="G168" s="20" t="s">
        <v>566</v>
      </c>
      <c r="H168" t="s">
        <v>285</v>
      </c>
      <c r="I168" s="6" t="s">
        <v>760</v>
      </c>
      <c r="J168" s="6" t="s">
        <v>752</v>
      </c>
      <c r="K168" s="6">
        <v>100</v>
      </c>
    </row>
    <row r="169" spans="1:11" x14ac:dyDescent="0.25">
      <c r="A169" s="2">
        <v>2</v>
      </c>
      <c r="B169" t="str">
        <f>IFERROR((_xlfn.XLOOKUP(A169,Diretriz!A:A,Diretriz!B:B)),"")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69" s="2" t="s">
        <v>7</v>
      </c>
      <c r="D169" t="str">
        <f>IFERROR((_xlfn.XLOOKUP(C169,Objetivo!C:C,Objetivo!D:D)), "")</f>
        <v>Garantir a integralidade da assistência dos serviços de média e alta complexidade aos usuários do SUS, por meio do fortalecimento das redes de atenção à saúde.</v>
      </c>
      <c r="E169" s="20" t="s">
        <v>64</v>
      </c>
      <c r="F169" s="19" t="str">
        <f>IFERROR(_xlfn.XLOOKUP(E169,#REF!,#REF!), "")</f>
        <v/>
      </c>
      <c r="G169" s="20" t="s">
        <v>567</v>
      </c>
      <c r="H169" t="s">
        <v>286</v>
      </c>
      <c r="I169" s="6" t="s">
        <v>762</v>
      </c>
      <c r="J169" s="6" t="s">
        <v>752</v>
      </c>
      <c r="K169" s="6">
        <v>90</v>
      </c>
    </row>
    <row r="170" spans="1:11" x14ac:dyDescent="0.25">
      <c r="A170" s="2">
        <v>2</v>
      </c>
      <c r="B170" t="str">
        <f>IFERROR((_xlfn.XLOOKUP(A170,Diretriz!A:A,Diretriz!B:B)),"")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70" s="2" t="s">
        <v>7</v>
      </c>
      <c r="D170" t="str">
        <f>IFERROR((_xlfn.XLOOKUP(C170,Objetivo!C:C,Objetivo!D:D)), "")</f>
        <v>Garantir a integralidade da assistência dos serviços de média e alta complexidade aos usuários do SUS, por meio do fortalecimento das redes de atenção à saúde.</v>
      </c>
      <c r="E170" s="20" t="s">
        <v>64</v>
      </c>
      <c r="F170" s="19" t="str">
        <f>IFERROR(_xlfn.XLOOKUP(E170,#REF!,#REF!), "")</f>
        <v/>
      </c>
      <c r="G170" s="20" t="s">
        <v>568</v>
      </c>
      <c r="H170" t="s">
        <v>287</v>
      </c>
      <c r="I170" s="6" t="s">
        <v>763</v>
      </c>
      <c r="J170" s="6" t="s">
        <v>751</v>
      </c>
      <c r="K170" s="6">
        <v>1</v>
      </c>
    </row>
    <row r="171" spans="1:11" x14ac:dyDescent="0.25">
      <c r="A171" s="2">
        <v>2</v>
      </c>
      <c r="B171" t="str">
        <f>IFERROR((_xlfn.XLOOKUP(A171,Diretriz!A:A,Diretriz!B:B)),"")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71" s="2" t="s">
        <v>7</v>
      </c>
      <c r="D171" t="str">
        <f>IFERROR((_xlfn.XLOOKUP(C171,Objetivo!C:C,Objetivo!D:D)), "")</f>
        <v>Garantir a integralidade da assistência dos serviços de média e alta complexidade aos usuários do SUS, por meio do fortalecimento das redes de atenção à saúde.</v>
      </c>
      <c r="E171" s="20" t="s">
        <v>64</v>
      </c>
      <c r="F171" s="19" t="str">
        <f>IFERROR(_xlfn.XLOOKUP(E171,#REF!,#REF!), "")</f>
        <v/>
      </c>
      <c r="G171" s="20" t="s">
        <v>569</v>
      </c>
      <c r="H171" t="s">
        <v>288</v>
      </c>
      <c r="I171" s="6" t="s">
        <v>753</v>
      </c>
      <c r="J171" s="6" t="s">
        <v>751</v>
      </c>
      <c r="K171" s="6">
        <v>1</v>
      </c>
    </row>
    <row r="172" spans="1:11" x14ac:dyDescent="0.25">
      <c r="A172" s="2">
        <v>2</v>
      </c>
      <c r="B172" t="str">
        <f>IFERROR((_xlfn.XLOOKUP(A172,Diretriz!A:A,Diretriz!B:B)),"")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72" s="2" t="s">
        <v>7</v>
      </c>
      <c r="D172" t="str">
        <f>IFERROR((_xlfn.XLOOKUP(C172,Objetivo!C:C,Objetivo!D:D)), "")</f>
        <v>Garantir a integralidade da assistência dos serviços de média e alta complexidade aos usuários do SUS, por meio do fortalecimento das redes de atenção à saúde.</v>
      </c>
      <c r="E172" s="20" t="s">
        <v>65</v>
      </c>
      <c r="F172" s="19" t="str">
        <f>IFERROR(_xlfn.XLOOKUP(E172,#REF!,#REF!), "")</f>
        <v/>
      </c>
      <c r="G172" s="20" t="s">
        <v>570</v>
      </c>
      <c r="H172" t="s">
        <v>289</v>
      </c>
      <c r="I172" s="6" t="s">
        <v>764</v>
      </c>
      <c r="J172" s="6" t="s">
        <v>751</v>
      </c>
      <c r="K172" s="6">
        <v>75690</v>
      </c>
    </row>
    <row r="173" spans="1:11" x14ac:dyDescent="0.25">
      <c r="A173" s="2">
        <v>2</v>
      </c>
      <c r="B173" t="str">
        <f>IFERROR((_xlfn.XLOOKUP(A173,Diretriz!A:A,Diretriz!B:B)),"")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73" s="2" t="s">
        <v>7</v>
      </c>
      <c r="D173" t="str">
        <f>IFERROR((_xlfn.XLOOKUP(C173,Objetivo!C:C,Objetivo!D:D)), "")</f>
        <v>Garantir a integralidade da assistência dos serviços de média e alta complexidade aos usuários do SUS, por meio do fortalecimento das redes de atenção à saúde.</v>
      </c>
      <c r="E173" s="20" t="s">
        <v>65</v>
      </c>
      <c r="F173" s="19" t="str">
        <f>IFERROR(_xlfn.XLOOKUP(E173,#REF!,#REF!), "")</f>
        <v/>
      </c>
      <c r="G173" s="20" t="s">
        <v>571</v>
      </c>
      <c r="H173" t="s">
        <v>290</v>
      </c>
      <c r="I173" s="6" t="s">
        <v>765</v>
      </c>
      <c r="J173" s="6" t="s">
        <v>751</v>
      </c>
      <c r="K173" s="6">
        <v>19</v>
      </c>
    </row>
    <row r="174" spans="1:11" x14ac:dyDescent="0.25">
      <c r="A174" s="2">
        <v>2</v>
      </c>
      <c r="B174" t="str">
        <f>IFERROR((_xlfn.XLOOKUP(A174,Diretriz!A:A,Diretriz!B:B)),"")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74" s="2" t="s">
        <v>7</v>
      </c>
      <c r="D174" t="str">
        <f>IFERROR((_xlfn.XLOOKUP(C174,Objetivo!C:C,Objetivo!D:D)), "")</f>
        <v>Garantir a integralidade da assistência dos serviços de média e alta complexidade aos usuários do SUS, por meio do fortalecimento das redes de atenção à saúde.</v>
      </c>
      <c r="E174" s="20" t="s">
        <v>65</v>
      </c>
      <c r="F174" s="19" t="str">
        <f>IFERROR(_xlfn.XLOOKUP(E174,#REF!,#REF!), "")</f>
        <v/>
      </c>
      <c r="G174" s="20" t="s">
        <v>572</v>
      </c>
      <c r="H174" t="s">
        <v>291</v>
      </c>
      <c r="I174" s="6" t="s">
        <v>765</v>
      </c>
      <c r="J174" s="6" t="s">
        <v>751</v>
      </c>
      <c r="K174" s="6">
        <v>19</v>
      </c>
    </row>
    <row r="175" spans="1:11" x14ac:dyDescent="0.25">
      <c r="A175" s="2">
        <v>2</v>
      </c>
      <c r="B175" t="str">
        <f>IFERROR((_xlfn.XLOOKUP(A175,Diretriz!A:A,Diretriz!B:B)),"")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75" s="2" t="s">
        <v>7</v>
      </c>
      <c r="D175" t="str">
        <f>IFERROR((_xlfn.XLOOKUP(C175,Objetivo!C:C,Objetivo!D:D)), "")</f>
        <v>Garantir a integralidade da assistência dos serviços de média e alta complexidade aos usuários do SUS, por meio do fortalecimento das redes de atenção à saúde.</v>
      </c>
      <c r="E175" s="20" t="s">
        <v>65</v>
      </c>
      <c r="F175" s="19" t="str">
        <f>IFERROR(_xlfn.XLOOKUP(E175,#REF!,#REF!), "")</f>
        <v/>
      </c>
      <c r="G175" s="20" t="s">
        <v>573</v>
      </c>
      <c r="H175" t="s">
        <v>292</v>
      </c>
      <c r="I175" s="6" t="s">
        <v>766</v>
      </c>
      <c r="J175" s="6" t="s">
        <v>751</v>
      </c>
      <c r="K175" s="6">
        <v>3000</v>
      </c>
    </row>
    <row r="176" spans="1:11" x14ac:dyDescent="0.25">
      <c r="A176" s="2">
        <v>2</v>
      </c>
      <c r="B176" t="str">
        <f>IFERROR((_xlfn.XLOOKUP(A176,Diretriz!A:A,Diretriz!B:B)),"")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76" s="2" t="s">
        <v>7</v>
      </c>
      <c r="D176" t="str">
        <f>IFERROR((_xlfn.XLOOKUP(C176,Objetivo!C:C,Objetivo!D:D)), "")</f>
        <v>Garantir a integralidade da assistência dos serviços de média e alta complexidade aos usuários do SUS, por meio do fortalecimento das redes de atenção à saúde.</v>
      </c>
      <c r="E176" s="20" t="s">
        <v>65</v>
      </c>
      <c r="F176" s="19" t="str">
        <f>IFERROR(_xlfn.XLOOKUP(E176,#REF!,#REF!), "")</f>
        <v/>
      </c>
      <c r="G176" s="20" t="s">
        <v>574</v>
      </c>
      <c r="H176" t="s">
        <v>293</v>
      </c>
      <c r="I176" s="6" t="s">
        <v>767</v>
      </c>
      <c r="J176" s="6" t="s">
        <v>751</v>
      </c>
      <c r="K176" s="6">
        <v>18000</v>
      </c>
    </row>
    <row r="177" spans="1:11" x14ac:dyDescent="0.25">
      <c r="A177" s="2">
        <v>2</v>
      </c>
      <c r="B177" t="str">
        <f>IFERROR((_xlfn.XLOOKUP(A177,Diretriz!A:A,Diretriz!B:B)),"")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77" s="2" t="s">
        <v>7</v>
      </c>
      <c r="D177" t="str">
        <f>IFERROR((_xlfn.XLOOKUP(C177,Objetivo!C:C,Objetivo!D:D)), "")</f>
        <v>Garantir a integralidade da assistência dos serviços de média e alta complexidade aos usuários do SUS, por meio do fortalecimento das redes de atenção à saúde.</v>
      </c>
      <c r="E177" s="20" t="s">
        <v>65</v>
      </c>
      <c r="F177" s="19" t="str">
        <f>IFERROR(_xlfn.XLOOKUP(E177,#REF!,#REF!), "")</f>
        <v/>
      </c>
      <c r="G177" s="20" t="s">
        <v>575</v>
      </c>
      <c r="H177" t="s">
        <v>294</v>
      </c>
      <c r="I177" s="6" t="s">
        <v>768</v>
      </c>
      <c r="J177" s="6" t="s">
        <v>751</v>
      </c>
      <c r="K177" s="6">
        <v>10</v>
      </c>
    </row>
    <row r="178" spans="1:11" x14ac:dyDescent="0.25">
      <c r="A178" s="2">
        <v>2</v>
      </c>
      <c r="B178" t="str">
        <f>IFERROR((_xlfn.XLOOKUP(A178,Diretriz!A:A,Diretriz!B:B)),"")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78" s="2" t="s">
        <v>7</v>
      </c>
      <c r="D178" t="str">
        <f>IFERROR((_xlfn.XLOOKUP(C178,Objetivo!C:C,Objetivo!D:D)), "")</f>
        <v>Garantir a integralidade da assistência dos serviços de média e alta complexidade aos usuários do SUS, por meio do fortalecimento das redes de atenção à saúde.</v>
      </c>
      <c r="E178" s="20" t="s">
        <v>66</v>
      </c>
      <c r="F178" s="19" t="str">
        <f>IFERROR(_xlfn.XLOOKUP(E178,#REF!,#REF!), "")</f>
        <v/>
      </c>
      <c r="G178" s="20" t="s">
        <v>576</v>
      </c>
      <c r="H178" t="s">
        <v>295</v>
      </c>
      <c r="I178" s="6" t="s">
        <v>769</v>
      </c>
      <c r="J178" s="6" t="s">
        <v>751</v>
      </c>
      <c r="K178" s="6">
        <v>56</v>
      </c>
    </row>
    <row r="179" spans="1:11" x14ac:dyDescent="0.25">
      <c r="A179" s="2">
        <v>2</v>
      </c>
      <c r="B179" t="str">
        <f>IFERROR((_xlfn.XLOOKUP(A179,Diretriz!A:A,Diretriz!B:B)),"")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79" s="2" t="s">
        <v>7</v>
      </c>
      <c r="D179" t="str">
        <f>IFERROR((_xlfn.XLOOKUP(C179,Objetivo!C:C,Objetivo!D:D)), "")</f>
        <v>Garantir a integralidade da assistência dos serviços de média e alta complexidade aos usuários do SUS, por meio do fortalecimento das redes de atenção à saúde.</v>
      </c>
      <c r="E179" s="20" t="s">
        <v>66</v>
      </c>
      <c r="F179" s="19" t="str">
        <f>IFERROR(_xlfn.XLOOKUP(E179,#REF!,#REF!), "")</f>
        <v/>
      </c>
      <c r="G179" s="20" t="s">
        <v>577</v>
      </c>
      <c r="H179" t="s">
        <v>296</v>
      </c>
      <c r="I179" s="6" t="s">
        <v>770</v>
      </c>
      <c r="J179" s="6" t="s">
        <v>751</v>
      </c>
      <c r="K179" s="6">
        <v>243066</v>
      </c>
    </row>
    <row r="180" spans="1:11" x14ac:dyDescent="0.25">
      <c r="A180" s="2">
        <v>2</v>
      </c>
      <c r="B180" t="str">
        <f>IFERROR((_xlfn.XLOOKUP(A180,Diretriz!A:A,Diretriz!B:B)),"")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80" s="2" t="s">
        <v>7</v>
      </c>
      <c r="D180" t="str">
        <f>IFERROR((_xlfn.XLOOKUP(C180,Objetivo!C:C,Objetivo!D:D)), "")</f>
        <v>Garantir a integralidade da assistência dos serviços de média e alta complexidade aos usuários do SUS, por meio do fortalecimento das redes de atenção à saúde.</v>
      </c>
      <c r="E180" s="20" t="s">
        <v>66</v>
      </c>
      <c r="F180" s="19" t="str">
        <f>IFERROR(_xlfn.XLOOKUP(E180,#REF!,#REF!), "")</f>
        <v/>
      </c>
      <c r="G180" s="20" t="s">
        <v>578</v>
      </c>
      <c r="H180" t="s">
        <v>297</v>
      </c>
      <c r="I180" s="6" t="s">
        <v>770</v>
      </c>
      <c r="J180" s="6" t="s">
        <v>751</v>
      </c>
      <c r="K180" s="6">
        <v>268138</v>
      </c>
    </row>
    <row r="181" spans="1:11" x14ac:dyDescent="0.25">
      <c r="A181" s="2">
        <v>2</v>
      </c>
      <c r="B181" t="str">
        <f>IFERROR((_xlfn.XLOOKUP(A181,Diretriz!A:A,Diretriz!B:B)),"")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81" s="2" t="s">
        <v>7</v>
      </c>
      <c r="D181" t="str">
        <f>IFERROR((_xlfn.XLOOKUP(C181,Objetivo!C:C,Objetivo!D:D)), "")</f>
        <v>Garantir a integralidade da assistência dos serviços de média e alta complexidade aos usuários do SUS, por meio do fortalecimento das redes de atenção à saúde.</v>
      </c>
      <c r="E181" s="20" t="s">
        <v>66</v>
      </c>
      <c r="F181" s="19" t="str">
        <f>IFERROR(_xlfn.XLOOKUP(E181,#REF!,#REF!), "")</f>
        <v/>
      </c>
      <c r="G181" s="20" t="s">
        <v>579</v>
      </c>
      <c r="H181" t="s">
        <v>298</v>
      </c>
      <c r="I181" s="6" t="s">
        <v>770</v>
      </c>
      <c r="J181" s="6" t="s">
        <v>751</v>
      </c>
      <c r="K181" s="6">
        <v>397884</v>
      </c>
    </row>
    <row r="182" spans="1:11" x14ac:dyDescent="0.25">
      <c r="A182" s="2">
        <v>2</v>
      </c>
      <c r="B182" t="str">
        <f>IFERROR((_xlfn.XLOOKUP(A182,Diretriz!A:A,Diretriz!B:B)),"")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82" s="2" t="s">
        <v>7</v>
      </c>
      <c r="D182" t="str">
        <f>IFERROR((_xlfn.XLOOKUP(C182,Objetivo!C:C,Objetivo!D:D)), "")</f>
        <v>Garantir a integralidade da assistência dos serviços de média e alta complexidade aos usuários do SUS, por meio do fortalecimento das redes de atenção à saúde.</v>
      </c>
      <c r="E182" s="20" t="s">
        <v>66</v>
      </c>
      <c r="F182" s="19" t="str">
        <f>IFERROR(_xlfn.XLOOKUP(E182,#REF!,#REF!), "")</f>
        <v/>
      </c>
      <c r="G182" s="20" t="s">
        <v>580</v>
      </c>
      <c r="H182" t="s">
        <v>299</v>
      </c>
      <c r="I182" s="6" t="s">
        <v>770</v>
      </c>
      <c r="J182" s="6" t="s">
        <v>751</v>
      </c>
      <c r="K182" s="6">
        <v>297190</v>
      </c>
    </row>
    <row r="183" spans="1:11" x14ac:dyDescent="0.25">
      <c r="A183" s="2">
        <v>2</v>
      </c>
      <c r="B183" t="str">
        <f>IFERROR((_xlfn.XLOOKUP(A183,Diretriz!A:A,Diretriz!B:B)),"")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83" s="2" t="s">
        <v>7</v>
      </c>
      <c r="D183" t="str">
        <f>IFERROR((_xlfn.XLOOKUP(C183,Objetivo!C:C,Objetivo!D:D)), "")</f>
        <v>Garantir a integralidade da assistência dos serviços de média e alta complexidade aos usuários do SUS, por meio do fortalecimento das redes de atenção à saúde.</v>
      </c>
      <c r="E183" s="20" t="s">
        <v>66</v>
      </c>
      <c r="F183" s="19" t="str">
        <f>IFERROR(_xlfn.XLOOKUP(E183,#REF!,#REF!), "")</f>
        <v/>
      </c>
      <c r="G183" s="20" t="s">
        <v>581</v>
      </c>
      <c r="H183" t="s">
        <v>300</v>
      </c>
      <c r="I183" s="6" t="s">
        <v>770</v>
      </c>
      <c r="J183" s="6" t="s">
        <v>751</v>
      </c>
      <c r="K183" s="6">
        <v>202718</v>
      </c>
    </row>
    <row r="184" spans="1:11" x14ac:dyDescent="0.25">
      <c r="A184" s="2">
        <v>2</v>
      </c>
      <c r="B184" t="str">
        <f>IFERROR((_xlfn.XLOOKUP(A184,Diretriz!A:A,Diretriz!B:B)),"")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84" s="2" t="s">
        <v>7</v>
      </c>
      <c r="D184" t="str">
        <f>IFERROR((_xlfn.XLOOKUP(C184,Objetivo!C:C,Objetivo!D:D)), "")</f>
        <v>Garantir a integralidade da assistência dos serviços de média e alta complexidade aos usuários do SUS, por meio do fortalecimento das redes de atenção à saúde.</v>
      </c>
      <c r="E184" s="20" t="s">
        <v>66</v>
      </c>
      <c r="F184" s="19" t="str">
        <f>IFERROR(_xlfn.XLOOKUP(E184,#REF!,#REF!), "")</f>
        <v/>
      </c>
      <c r="G184" s="20" t="s">
        <v>582</v>
      </c>
      <c r="H184" t="s">
        <v>301</v>
      </c>
      <c r="I184" s="6" t="s">
        <v>770</v>
      </c>
      <c r="J184" s="6" t="s">
        <v>751</v>
      </c>
      <c r="K184" s="6">
        <v>465600</v>
      </c>
    </row>
    <row r="185" spans="1:11" x14ac:dyDescent="0.25">
      <c r="A185" s="2">
        <v>2</v>
      </c>
      <c r="B185" t="str">
        <f>IFERROR((_xlfn.XLOOKUP(A185,Diretriz!A:A,Diretriz!B:B)),"")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85" s="2" t="s">
        <v>7</v>
      </c>
      <c r="D185" t="str">
        <f>IFERROR((_xlfn.XLOOKUP(C185,Objetivo!C:C,Objetivo!D:D)), "")</f>
        <v>Garantir a integralidade da assistência dos serviços de média e alta complexidade aos usuários do SUS, por meio do fortalecimento das redes de atenção à saúde.</v>
      </c>
      <c r="E185" s="20" t="s">
        <v>66</v>
      </c>
      <c r="F185" s="19" t="str">
        <f>IFERROR(_xlfn.XLOOKUP(E185,#REF!,#REF!), "")</f>
        <v/>
      </c>
      <c r="G185" s="20" t="s">
        <v>583</v>
      </c>
      <c r="H185" t="s">
        <v>302</v>
      </c>
      <c r="I185" s="6" t="s">
        <v>770</v>
      </c>
      <c r="J185" s="6" t="s">
        <v>751</v>
      </c>
      <c r="K185" s="6">
        <v>73131</v>
      </c>
    </row>
    <row r="186" spans="1:11" x14ac:dyDescent="0.25">
      <c r="A186" s="2">
        <v>2</v>
      </c>
      <c r="B186" t="str">
        <f>IFERROR((_xlfn.XLOOKUP(A186,Diretriz!A:A,Diretriz!B:B)),"")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86" s="2" t="s">
        <v>7</v>
      </c>
      <c r="D186" t="str">
        <f>IFERROR((_xlfn.XLOOKUP(C186,Objetivo!C:C,Objetivo!D:D)), "")</f>
        <v>Garantir a integralidade da assistência dos serviços de média e alta complexidade aos usuários do SUS, por meio do fortalecimento das redes de atenção à saúde.</v>
      </c>
      <c r="E186" s="20" t="s">
        <v>67</v>
      </c>
      <c r="F186" s="19" t="str">
        <f>IFERROR(_xlfn.XLOOKUP(E186,#REF!,#REF!), "")</f>
        <v/>
      </c>
      <c r="G186" s="20" t="s">
        <v>584</v>
      </c>
      <c r="H186" t="s">
        <v>303</v>
      </c>
      <c r="I186" s="6" t="s">
        <v>718</v>
      </c>
      <c r="J186" s="6" t="s">
        <v>751</v>
      </c>
      <c r="K186" s="6">
        <v>56</v>
      </c>
    </row>
    <row r="187" spans="1:11" x14ac:dyDescent="0.25">
      <c r="A187" s="2">
        <v>2</v>
      </c>
      <c r="B187" t="str">
        <f>IFERROR((_xlfn.XLOOKUP(A187,Diretriz!A:A,Diretriz!B:B)),"")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87" s="2" t="s">
        <v>7</v>
      </c>
      <c r="D187" t="str">
        <f>IFERROR((_xlfn.XLOOKUP(C187,Objetivo!C:C,Objetivo!D:D)), "")</f>
        <v>Garantir a integralidade da assistência dos serviços de média e alta complexidade aos usuários do SUS, por meio do fortalecimento das redes de atenção à saúde.</v>
      </c>
      <c r="E187" s="20" t="s">
        <v>67</v>
      </c>
      <c r="F187" s="19" t="str">
        <f>IFERROR(_xlfn.XLOOKUP(E187,#REF!,#REF!), "")</f>
        <v/>
      </c>
      <c r="G187" s="20" t="s">
        <v>585</v>
      </c>
      <c r="H187" t="s">
        <v>304</v>
      </c>
      <c r="I187" s="6" t="s">
        <v>771</v>
      </c>
      <c r="J187" s="6" t="s">
        <v>751</v>
      </c>
      <c r="K187" s="6">
        <v>56</v>
      </c>
    </row>
    <row r="188" spans="1:11" x14ac:dyDescent="0.25">
      <c r="A188" s="2">
        <v>2</v>
      </c>
      <c r="B188" t="str">
        <f>IFERROR((_xlfn.XLOOKUP(A188,Diretriz!A:A,Diretriz!B:B)),"")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88" s="2" t="s">
        <v>8</v>
      </c>
      <c r="D188" t="str">
        <f>IFERROR((_xlfn.XLOOKUP(C188,Objetivo!C:C,Objetivo!D:D)), "")</f>
        <v>Ampliar a doação e a captação de órgãos e tecidos, com a finalidade de ampliar a realização de transplantes no estado.</v>
      </c>
      <c r="E188" s="20" t="s">
        <v>68</v>
      </c>
      <c r="F188" s="19" t="str">
        <f>IFERROR(_xlfn.XLOOKUP(E188,#REF!,#REF!), "")</f>
        <v/>
      </c>
      <c r="G188" s="20" t="s">
        <v>586</v>
      </c>
      <c r="H188" t="s">
        <v>305</v>
      </c>
      <c r="I188" s="6" t="s">
        <v>772</v>
      </c>
      <c r="J188" s="6" t="s">
        <v>751</v>
      </c>
      <c r="K188" s="6">
        <v>45</v>
      </c>
    </row>
    <row r="189" spans="1:11" x14ac:dyDescent="0.25">
      <c r="A189" s="2">
        <v>2</v>
      </c>
      <c r="B189" t="str">
        <f>IFERROR((_xlfn.XLOOKUP(A189,Diretriz!A:A,Diretriz!B:B)),"")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89" s="2" t="s">
        <v>8</v>
      </c>
      <c r="D189" t="str">
        <f>IFERROR((_xlfn.XLOOKUP(C189,Objetivo!C:C,Objetivo!D:D)), "")</f>
        <v>Ampliar a doação e a captação de órgãos e tecidos, com a finalidade de ampliar a realização de transplantes no estado.</v>
      </c>
      <c r="E189" s="20" t="s">
        <v>68</v>
      </c>
      <c r="F189" s="19" t="str">
        <f>IFERROR(_xlfn.XLOOKUP(E189,#REF!,#REF!), "")</f>
        <v/>
      </c>
      <c r="G189" s="20" t="s">
        <v>587</v>
      </c>
      <c r="H189" t="s">
        <v>306</v>
      </c>
      <c r="I189" s="6" t="s">
        <v>773</v>
      </c>
      <c r="J189" s="6" t="s">
        <v>751</v>
      </c>
      <c r="K189" s="6">
        <v>50</v>
      </c>
    </row>
    <row r="190" spans="1:11" x14ac:dyDescent="0.25">
      <c r="A190" s="2">
        <v>2</v>
      </c>
      <c r="B190" t="str">
        <f>IFERROR((_xlfn.XLOOKUP(A190,Diretriz!A:A,Diretriz!B:B)),"")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90" s="2" t="s">
        <v>8</v>
      </c>
      <c r="D190" t="str">
        <f>IFERROR((_xlfn.XLOOKUP(C190,Objetivo!C:C,Objetivo!D:D)), "")</f>
        <v>Ampliar a doação e a captação de órgãos e tecidos, com a finalidade de ampliar a realização de transplantes no estado.</v>
      </c>
      <c r="E190" s="20" t="s">
        <v>68</v>
      </c>
      <c r="F190" s="19" t="str">
        <f>IFERROR(_xlfn.XLOOKUP(E190,#REF!,#REF!), "")</f>
        <v/>
      </c>
      <c r="G190" s="20" t="s">
        <v>588</v>
      </c>
      <c r="H190" t="s">
        <v>307</v>
      </c>
      <c r="I190" s="6" t="s">
        <v>774</v>
      </c>
      <c r="J190" s="6" t="s">
        <v>751</v>
      </c>
      <c r="K190" s="6">
        <v>4</v>
      </c>
    </row>
    <row r="191" spans="1:11" x14ac:dyDescent="0.25">
      <c r="A191" s="2">
        <v>2</v>
      </c>
      <c r="B191" t="str">
        <f>IFERROR((_xlfn.XLOOKUP(A191,Diretriz!A:A,Diretriz!B:B)),"")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91" s="2" t="s">
        <v>8</v>
      </c>
      <c r="D191" t="str">
        <f>IFERROR((_xlfn.XLOOKUP(C191,Objetivo!C:C,Objetivo!D:D)), "")</f>
        <v>Ampliar a doação e a captação de órgãos e tecidos, com a finalidade de ampliar a realização de transplantes no estado.</v>
      </c>
      <c r="E191" s="20" t="s">
        <v>68</v>
      </c>
      <c r="F191" s="19" t="str">
        <f>IFERROR(_xlfn.XLOOKUP(E191,#REF!,#REF!), "")</f>
        <v/>
      </c>
      <c r="G191" s="20" t="s">
        <v>589</v>
      </c>
      <c r="H191" t="s">
        <v>308</v>
      </c>
      <c r="I191" s="6" t="s">
        <v>773</v>
      </c>
      <c r="J191" s="6" t="s">
        <v>751</v>
      </c>
      <c r="K191" s="6">
        <v>260</v>
      </c>
    </row>
    <row r="192" spans="1:11" x14ac:dyDescent="0.25">
      <c r="A192" s="2">
        <v>2</v>
      </c>
      <c r="B192" t="str">
        <f>IFERROR((_xlfn.XLOOKUP(A192,Diretriz!A:A,Diretriz!B:B)),"")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92" s="2" t="s">
        <v>8</v>
      </c>
      <c r="D192" t="str">
        <f>IFERROR((_xlfn.XLOOKUP(C192,Objetivo!C:C,Objetivo!D:D)), "")</f>
        <v>Ampliar a doação e a captação de órgãos e tecidos, com a finalidade de ampliar a realização de transplantes no estado.</v>
      </c>
      <c r="E192" s="20" t="s">
        <v>68</v>
      </c>
      <c r="F192" s="19" t="str">
        <f>IFERROR(_xlfn.XLOOKUP(E192,#REF!,#REF!), "")</f>
        <v/>
      </c>
      <c r="G192" s="20" t="s">
        <v>590</v>
      </c>
      <c r="H192" t="s">
        <v>309</v>
      </c>
      <c r="I192" s="6" t="s">
        <v>775</v>
      </c>
      <c r="J192" s="6" t="s">
        <v>751</v>
      </c>
      <c r="K192" s="6">
        <v>1500</v>
      </c>
    </row>
    <row r="193" spans="1:11" x14ac:dyDescent="0.25">
      <c r="A193" s="2">
        <v>2</v>
      </c>
      <c r="B193" t="str">
        <f>IFERROR((_xlfn.XLOOKUP(A193,Diretriz!A:A,Diretriz!B:B)),"")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93" s="2" t="s">
        <v>8</v>
      </c>
      <c r="D193" t="str">
        <f>IFERROR((_xlfn.XLOOKUP(C193,Objetivo!C:C,Objetivo!D:D)), "")</f>
        <v>Ampliar a doação e a captação de órgãos e tecidos, com a finalidade de ampliar a realização de transplantes no estado.</v>
      </c>
      <c r="E193" s="20" t="s">
        <v>69</v>
      </c>
      <c r="F193" s="19" t="str">
        <f>IFERROR(_xlfn.XLOOKUP(E193,#REF!,#REF!), "")</f>
        <v/>
      </c>
      <c r="G193" s="20" t="s">
        <v>591</v>
      </c>
      <c r="H193" t="s">
        <v>310</v>
      </c>
      <c r="I193" s="6" t="s">
        <v>776</v>
      </c>
      <c r="J193" s="6" t="s">
        <v>751</v>
      </c>
      <c r="K193" s="6">
        <v>100</v>
      </c>
    </row>
    <row r="194" spans="1:11" x14ac:dyDescent="0.25">
      <c r="A194" s="2">
        <v>2</v>
      </c>
      <c r="B194" t="str">
        <f>IFERROR((_xlfn.XLOOKUP(A194,Diretriz!A:A,Diretriz!B:B)),"")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94" s="2" t="s">
        <v>8</v>
      </c>
      <c r="D194" t="str">
        <f>IFERROR((_xlfn.XLOOKUP(C194,Objetivo!C:C,Objetivo!D:D)), "")</f>
        <v>Ampliar a doação e a captação de órgãos e tecidos, com a finalidade de ampliar a realização de transplantes no estado.</v>
      </c>
      <c r="E194" s="20" t="s">
        <v>69</v>
      </c>
      <c r="F194" s="19" t="str">
        <f>IFERROR(_xlfn.XLOOKUP(E194,#REF!,#REF!), "")</f>
        <v/>
      </c>
      <c r="G194" s="20" t="s">
        <v>592</v>
      </c>
      <c r="H194" t="s">
        <v>311</v>
      </c>
      <c r="I194" s="6" t="s">
        <v>776</v>
      </c>
      <c r="J194" s="6" t="s">
        <v>751</v>
      </c>
      <c r="K194" s="6">
        <v>100</v>
      </c>
    </row>
    <row r="195" spans="1:11" x14ac:dyDescent="0.25">
      <c r="A195" s="2">
        <v>2</v>
      </c>
      <c r="B195" t="str">
        <f>IFERROR((_xlfn.XLOOKUP(A195,Diretriz!A:A,Diretriz!B:B)),"")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95" s="2" t="s">
        <v>8</v>
      </c>
      <c r="D195" t="str">
        <f>IFERROR((_xlfn.XLOOKUP(C195,Objetivo!C:C,Objetivo!D:D)), "")</f>
        <v>Ampliar a doação e a captação de órgãos e tecidos, com a finalidade de ampliar a realização de transplantes no estado.</v>
      </c>
      <c r="E195" s="20" t="s">
        <v>69</v>
      </c>
      <c r="F195" s="19" t="str">
        <f>IFERROR(_xlfn.XLOOKUP(E195,#REF!,#REF!), "")</f>
        <v/>
      </c>
      <c r="G195" s="20" t="s">
        <v>593</v>
      </c>
      <c r="H195" t="s">
        <v>312</v>
      </c>
      <c r="I195" s="6" t="s">
        <v>776</v>
      </c>
      <c r="J195" s="6" t="s">
        <v>751</v>
      </c>
      <c r="K195" s="6">
        <v>50</v>
      </c>
    </row>
    <row r="196" spans="1:11" x14ac:dyDescent="0.25">
      <c r="A196" s="2">
        <v>2</v>
      </c>
      <c r="B196" t="str">
        <f>IFERROR((_xlfn.XLOOKUP(A196,Diretriz!A:A,Diretriz!B:B)),"")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96" s="2" t="s">
        <v>8</v>
      </c>
      <c r="D196" t="str">
        <f>IFERROR((_xlfn.XLOOKUP(C196,Objetivo!C:C,Objetivo!D:D)), "")</f>
        <v>Ampliar a doação e a captação de órgãos e tecidos, com a finalidade de ampliar a realização de transplantes no estado.</v>
      </c>
      <c r="E196" s="20" t="s">
        <v>69</v>
      </c>
      <c r="F196" s="19" t="str">
        <f>IFERROR(_xlfn.XLOOKUP(E196,#REF!,#REF!), "")</f>
        <v/>
      </c>
      <c r="G196" s="20" t="s">
        <v>594</v>
      </c>
      <c r="H196" t="s">
        <v>313</v>
      </c>
      <c r="I196" s="6" t="s">
        <v>777</v>
      </c>
      <c r="J196" s="6" t="s">
        <v>751</v>
      </c>
      <c r="K196" s="6">
        <v>1</v>
      </c>
    </row>
    <row r="197" spans="1:11" x14ac:dyDescent="0.25">
      <c r="A197" s="2">
        <v>2</v>
      </c>
      <c r="B197" t="str">
        <f>IFERROR((_xlfn.XLOOKUP(A197,Diretriz!A:A,Diretriz!B:B)),"")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97" s="2" t="s">
        <v>8</v>
      </c>
      <c r="D197" t="str">
        <f>IFERROR((_xlfn.XLOOKUP(C197,Objetivo!C:C,Objetivo!D:D)), "")</f>
        <v>Ampliar a doação e a captação de órgãos e tecidos, com a finalidade de ampliar a realização de transplantes no estado.</v>
      </c>
      <c r="E197" s="20" t="s">
        <v>70</v>
      </c>
      <c r="F197" s="19" t="str">
        <f>IFERROR(_xlfn.XLOOKUP(E197,#REF!,#REF!), "")</f>
        <v/>
      </c>
      <c r="G197" s="20" t="s">
        <v>595</v>
      </c>
      <c r="H197" t="s">
        <v>314</v>
      </c>
      <c r="I197" s="6" t="s">
        <v>778</v>
      </c>
      <c r="J197" s="6" t="s">
        <v>752</v>
      </c>
      <c r="K197" s="6">
        <v>90</v>
      </c>
    </row>
    <row r="198" spans="1:11" x14ac:dyDescent="0.25">
      <c r="A198" s="2">
        <v>2</v>
      </c>
      <c r="B198" t="str">
        <f>IFERROR((_xlfn.XLOOKUP(A198,Diretriz!A:A,Diretriz!B:B)),"")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98" s="2" t="s">
        <v>8</v>
      </c>
      <c r="D198" t="str">
        <f>IFERROR((_xlfn.XLOOKUP(C198,Objetivo!C:C,Objetivo!D:D)), "")</f>
        <v>Ampliar a doação e a captação de órgãos e tecidos, com a finalidade de ampliar a realização de transplantes no estado.</v>
      </c>
      <c r="E198" s="20" t="s">
        <v>70</v>
      </c>
      <c r="F198" s="19" t="str">
        <f>IFERROR(_xlfn.XLOOKUP(E198,#REF!,#REF!), "")</f>
        <v/>
      </c>
      <c r="G198" s="20" t="s">
        <v>596</v>
      </c>
      <c r="H198" t="s">
        <v>315</v>
      </c>
      <c r="I198" s="6" t="s">
        <v>779</v>
      </c>
      <c r="J198" s="6" t="s">
        <v>751</v>
      </c>
      <c r="K198" s="6">
        <v>250</v>
      </c>
    </row>
    <row r="199" spans="1:11" x14ac:dyDescent="0.25">
      <c r="A199" s="2">
        <v>2</v>
      </c>
      <c r="B199" t="str">
        <f>IFERROR((_xlfn.XLOOKUP(A199,Diretriz!A:A,Diretriz!B:B)),"")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199" s="2" t="s">
        <v>8</v>
      </c>
      <c r="D199" t="str">
        <f>IFERROR((_xlfn.XLOOKUP(C199,Objetivo!C:C,Objetivo!D:D)), "")</f>
        <v>Ampliar a doação e a captação de órgãos e tecidos, com a finalidade de ampliar a realização de transplantes no estado.</v>
      </c>
      <c r="E199" s="20" t="s">
        <v>70</v>
      </c>
      <c r="F199" s="19" t="str">
        <f>IFERROR(_xlfn.XLOOKUP(E199,#REF!,#REF!), "")</f>
        <v/>
      </c>
      <c r="G199" s="20" t="s">
        <v>597</v>
      </c>
      <c r="H199" t="s">
        <v>316</v>
      </c>
      <c r="I199" s="6" t="s">
        <v>780</v>
      </c>
      <c r="J199" s="6" t="s">
        <v>752</v>
      </c>
      <c r="K199" s="6">
        <v>100</v>
      </c>
    </row>
    <row r="200" spans="1:11" x14ac:dyDescent="0.25">
      <c r="A200" s="2">
        <v>2</v>
      </c>
      <c r="B200" t="str">
        <f>IFERROR((_xlfn.XLOOKUP(A200,Diretriz!A:A,Diretriz!B:B)),"")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00" s="2" t="s">
        <v>9</v>
      </c>
      <c r="D200" t="str">
        <f>IFERROR((_xlfn.XLOOKUP(C200,Objetivo!C:C,Objetivo!D:D)), "")</f>
        <v>Programar, executar e coordenar a política de sangue, seus componentes e derivados no estado do Maranhão no âmbito da hemoterapia e de hematologia clínica, incluindo suporte diagnostico e atendimentos multidisciplinares.</v>
      </c>
      <c r="E200" s="20" t="s">
        <v>71</v>
      </c>
      <c r="F200" s="19" t="str">
        <f>IFERROR(_xlfn.XLOOKUP(E200,#REF!,#REF!), "")</f>
        <v/>
      </c>
      <c r="G200" s="20" t="s">
        <v>598</v>
      </c>
      <c r="H200" t="s">
        <v>317</v>
      </c>
      <c r="I200" s="6" t="s">
        <v>781</v>
      </c>
      <c r="J200" s="6" t="s">
        <v>751</v>
      </c>
      <c r="K200" s="6">
        <v>127630</v>
      </c>
    </row>
    <row r="201" spans="1:11" x14ac:dyDescent="0.25">
      <c r="A201" s="2">
        <v>2</v>
      </c>
      <c r="B201" t="str">
        <f>IFERROR((_xlfn.XLOOKUP(A201,Diretriz!A:A,Diretriz!B:B)),"")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01" s="2" t="s">
        <v>9</v>
      </c>
      <c r="D201" t="str">
        <f>IFERROR((_xlfn.XLOOKUP(C201,Objetivo!C:C,Objetivo!D:D)), "")</f>
        <v>Programar, executar e coordenar a política de sangue, seus componentes e derivados no estado do Maranhão no âmbito da hemoterapia e de hematologia clínica, incluindo suporte diagnostico e atendimentos multidisciplinares.</v>
      </c>
      <c r="E201" s="20" t="s">
        <v>71</v>
      </c>
      <c r="F201" s="19" t="str">
        <f>IFERROR(_xlfn.XLOOKUP(E201,#REF!,#REF!), "")</f>
        <v/>
      </c>
      <c r="G201" s="20" t="s">
        <v>599</v>
      </c>
      <c r="H201" t="s">
        <v>318</v>
      </c>
      <c r="I201" s="6" t="s">
        <v>782</v>
      </c>
      <c r="J201" s="6" t="s">
        <v>751</v>
      </c>
      <c r="K201" s="6">
        <v>101332</v>
      </c>
    </row>
    <row r="202" spans="1:11" x14ac:dyDescent="0.25">
      <c r="A202" s="2">
        <v>2</v>
      </c>
      <c r="B202" t="str">
        <f>IFERROR((_xlfn.XLOOKUP(A202,Diretriz!A:A,Diretriz!B:B)),"")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02" s="2" t="s">
        <v>9</v>
      </c>
      <c r="D202" t="str">
        <f>IFERROR((_xlfn.XLOOKUP(C202,Objetivo!C:C,Objetivo!D:D)), "")</f>
        <v>Programar, executar e coordenar a política de sangue, seus componentes e derivados no estado do Maranhão no âmbito da hemoterapia e de hematologia clínica, incluindo suporte diagnostico e atendimentos multidisciplinares.</v>
      </c>
      <c r="E202" s="20" t="s">
        <v>71</v>
      </c>
      <c r="F202" s="19" t="str">
        <f>IFERROR(_xlfn.XLOOKUP(E202,#REF!,#REF!), "")</f>
        <v/>
      </c>
      <c r="G202" s="20" t="s">
        <v>600</v>
      </c>
      <c r="H202" t="s">
        <v>319</v>
      </c>
      <c r="I202" s="6" t="s">
        <v>783</v>
      </c>
      <c r="J202" s="6" t="s">
        <v>751</v>
      </c>
      <c r="K202" s="6">
        <v>234900</v>
      </c>
    </row>
    <row r="203" spans="1:11" x14ac:dyDescent="0.25">
      <c r="A203" s="2">
        <v>2</v>
      </c>
      <c r="B203" t="str">
        <f>IFERROR((_xlfn.XLOOKUP(A203,Diretriz!A:A,Diretriz!B:B)),"")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03" s="2" t="s">
        <v>9</v>
      </c>
      <c r="D203" t="str">
        <f>IFERROR((_xlfn.XLOOKUP(C203,Objetivo!C:C,Objetivo!D:D)), "")</f>
        <v>Programar, executar e coordenar a política de sangue, seus componentes e derivados no estado do Maranhão no âmbito da hemoterapia e de hematologia clínica, incluindo suporte diagnostico e atendimentos multidisciplinares.</v>
      </c>
      <c r="E203" s="20" t="s">
        <v>72</v>
      </c>
      <c r="F203" s="19" t="str">
        <f>IFERROR(_xlfn.XLOOKUP(E203,#REF!,#REF!), "")</f>
        <v/>
      </c>
      <c r="G203" s="20" t="s">
        <v>601</v>
      </c>
      <c r="H203" t="s">
        <v>320</v>
      </c>
      <c r="I203" s="6" t="s">
        <v>784</v>
      </c>
      <c r="J203" s="6" t="s">
        <v>751</v>
      </c>
      <c r="K203" s="6">
        <v>18371</v>
      </c>
    </row>
    <row r="204" spans="1:11" x14ac:dyDescent="0.25">
      <c r="A204" s="2">
        <v>2</v>
      </c>
      <c r="B204" t="str">
        <f>IFERROR((_xlfn.XLOOKUP(A204,Diretriz!A:A,Diretriz!B:B)),"")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04" s="2" t="s">
        <v>9</v>
      </c>
      <c r="D204" t="str">
        <f>IFERROR((_xlfn.XLOOKUP(C204,Objetivo!C:C,Objetivo!D:D)), "")</f>
        <v>Programar, executar e coordenar a política de sangue, seus componentes e derivados no estado do Maranhão no âmbito da hemoterapia e de hematologia clínica, incluindo suporte diagnostico e atendimentos multidisciplinares.</v>
      </c>
      <c r="E204" s="20" t="s">
        <v>72</v>
      </c>
      <c r="F204" s="19" t="str">
        <f>IFERROR(_xlfn.XLOOKUP(E204,#REF!,#REF!), "")</f>
        <v/>
      </c>
      <c r="G204" s="20" t="s">
        <v>602</v>
      </c>
      <c r="H204" t="s">
        <v>321</v>
      </c>
      <c r="I204" s="6" t="s">
        <v>784</v>
      </c>
      <c r="J204" s="6" t="s">
        <v>751</v>
      </c>
      <c r="K204" s="6">
        <v>3470</v>
      </c>
    </row>
    <row r="205" spans="1:11" x14ac:dyDescent="0.25">
      <c r="A205" s="2">
        <v>2</v>
      </c>
      <c r="B205" t="str">
        <f>IFERROR((_xlfn.XLOOKUP(A205,Diretriz!A:A,Diretriz!B:B)),"")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05" s="2" t="s">
        <v>9</v>
      </c>
      <c r="D205" t="str">
        <f>IFERROR((_xlfn.XLOOKUP(C205,Objetivo!C:C,Objetivo!D:D)), "")</f>
        <v>Programar, executar e coordenar a política de sangue, seus componentes e derivados no estado do Maranhão no âmbito da hemoterapia e de hematologia clínica, incluindo suporte diagnostico e atendimentos multidisciplinares.</v>
      </c>
      <c r="E205" s="20" t="s">
        <v>72</v>
      </c>
      <c r="F205" s="19" t="str">
        <f>IFERROR(_xlfn.XLOOKUP(E205,#REF!,#REF!), "")</f>
        <v/>
      </c>
      <c r="G205" s="20" t="s">
        <v>603</v>
      </c>
      <c r="H205" t="s">
        <v>322</v>
      </c>
      <c r="I205" s="6" t="s">
        <v>784</v>
      </c>
      <c r="J205" s="6" t="s">
        <v>751</v>
      </c>
      <c r="K205" s="6">
        <v>7127</v>
      </c>
    </row>
    <row r="206" spans="1:11" x14ac:dyDescent="0.25">
      <c r="A206" s="2">
        <v>2</v>
      </c>
      <c r="B206" t="str">
        <f>IFERROR((_xlfn.XLOOKUP(A206,Diretriz!A:A,Diretriz!B:B)),"")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06" s="2" t="s">
        <v>9</v>
      </c>
      <c r="D206" t="str">
        <f>IFERROR((_xlfn.XLOOKUP(C206,Objetivo!C:C,Objetivo!D:D)), "")</f>
        <v>Programar, executar e coordenar a política de sangue, seus componentes e derivados no estado do Maranhão no âmbito da hemoterapia e de hematologia clínica, incluindo suporte diagnostico e atendimentos multidisciplinares.</v>
      </c>
      <c r="E206" s="20" t="s">
        <v>73</v>
      </c>
      <c r="F206" s="19" t="str">
        <f>IFERROR(_xlfn.XLOOKUP(E206,#REF!,#REF!), "")</f>
        <v/>
      </c>
      <c r="G206" s="20" t="s">
        <v>604</v>
      </c>
      <c r="H206" t="s">
        <v>323</v>
      </c>
      <c r="I206" s="6" t="s">
        <v>785</v>
      </c>
      <c r="J206" s="6" t="s">
        <v>751</v>
      </c>
      <c r="K206" s="6">
        <v>9307</v>
      </c>
    </row>
    <row r="207" spans="1:11" x14ac:dyDescent="0.25">
      <c r="A207" s="2">
        <v>2</v>
      </c>
      <c r="B207" t="str">
        <f>IFERROR((_xlfn.XLOOKUP(A207,Diretriz!A:A,Diretriz!B:B)),"")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07" s="2" t="s">
        <v>9</v>
      </c>
      <c r="D207" t="str">
        <f>IFERROR((_xlfn.XLOOKUP(C207,Objetivo!C:C,Objetivo!D:D)), "")</f>
        <v>Programar, executar e coordenar a política de sangue, seus componentes e derivados no estado do Maranhão no âmbito da hemoterapia e de hematologia clínica, incluindo suporte diagnostico e atendimentos multidisciplinares.</v>
      </c>
      <c r="E207" s="20" t="s">
        <v>73</v>
      </c>
      <c r="F207" s="19" t="str">
        <f>IFERROR(_xlfn.XLOOKUP(E207,#REF!,#REF!), "")</f>
        <v/>
      </c>
      <c r="G207" s="20" t="s">
        <v>605</v>
      </c>
      <c r="H207" t="s">
        <v>324</v>
      </c>
      <c r="I207" s="6" t="s">
        <v>785</v>
      </c>
      <c r="J207" s="6" t="s">
        <v>751</v>
      </c>
      <c r="K207" s="6">
        <v>8736</v>
      </c>
    </row>
    <row r="208" spans="1:11" x14ac:dyDescent="0.25">
      <c r="A208" s="2">
        <v>2</v>
      </c>
      <c r="B208" t="str">
        <f>IFERROR((_xlfn.XLOOKUP(A208,Diretriz!A:A,Diretriz!B:B)),"")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08" s="2" t="s">
        <v>9</v>
      </c>
      <c r="D208" t="str">
        <f>IFERROR((_xlfn.XLOOKUP(C208,Objetivo!C:C,Objetivo!D:D)), "")</f>
        <v>Programar, executar e coordenar a política de sangue, seus componentes e derivados no estado do Maranhão no âmbito da hemoterapia e de hematologia clínica, incluindo suporte diagnostico e atendimentos multidisciplinares.</v>
      </c>
      <c r="E208" s="20" t="s">
        <v>73</v>
      </c>
      <c r="F208" s="19" t="str">
        <f>IFERROR(_xlfn.XLOOKUP(E208,#REF!,#REF!), "")</f>
        <v/>
      </c>
      <c r="G208" s="20" t="s">
        <v>606</v>
      </c>
      <c r="H208" t="s">
        <v>325</v>
      </c>
      <c r="I208" s="6" t="s">
        <v>785</v>
      </c>
      <c r="J208" s="6" t="s">
        <v>751</v>
      </c>
      <c r="K208" s="6">
        <v>653</v>
      </c>
    </row>
    <row r="209" spans="1:11" x14ac:dyDescent="0.25">
      <c r="A209" s="2">
        <v>2</v>
      </c>
      <c r="B209" t="str">
        <f>IFERROR((_xlfn.XLOOKUP(A209,Diretriz!A:A,Diretriz!B:B)),"")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09" s="2" t="s">
        <v>9</v>
      </c>
      <c r="D209" t="str">
        <f>IFERROR((_xlfn.XLOOKUP(C209,Objetivo!C:C,Objetivo!D:D)), "")</f>
        <v>Programar, executar e coordenar a política de sangue, seus componentes e derivados no estado do Maranhão no âmbito da hemoterapia e de hematologia clínica, incluindo suporte diagnostico e atendimentos multidisciplinares.</v>
      </c>
      <c r="E209" s="20" t="s">
        <v>73</v>
      </c>
      <c r="F209" s="19" t="str">
        <f>IFERROR(_xlfn.XLOOKUP(E209,#REF!,#REF!), "")</f>
        <v/>
      </c>
      <c r="G209" s="20" t="s">
        <v>607</v>
      </c>
      <c r="H209" t="s">
        <v>326</v>
      </c>
      <c r="I209" s="6" t="s">
        <v>785</v>
      </c>
      <c r="J209" s="6" t="s">
        <v>751</v>
      </c>
      <c r="K209" s="6">
        <v>12480</v>
      </c>
    </row>
    <row r="210" spans="1:11" x14ac:dyDescent="0.25">
      <c r="A210" s="2">
        <v>2</v>
      </c>
      <c r="B210" t="str">
        <f>IFERROR((_xlfn.XLOOKUP(A210,Diretriz!A:A,Diretriz!B:B)),"")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10" s="2" t="s">
        <v>9</v>
      </c>
      <c r="D210" t="str">
        <f>IFERROR((_xlfn.XLOOKUP(C210,Objetivo!C:C,Objetivo!D:D)), "")</f>
        <v>Programar, executar e coordenar a política de sangue, seus componentes e derivados no estado do Maranhão no âmbito da hemoterapia e de hematologia clínica, incluindo suporte diagnostico e atendimentos multidisciplinares.</v>
      </c>
      <c r="E210" s="20" t="s">
        <v>73</v>
      </c>
      <c r="F210" s="19" t="str">
        <f>IFERROR(_xlfn.XLOOKUP(E210,#REF!,#REF!), "")</f>
        <v/>
      </c>
      <c r="G210" s="20" t="s">
        <v>608</v>
      </c>
      <c r="H210" t="s">
        <v>327</v>
      </c>
      <c r="I210" s="6" t="s">
        <v>785</v>
      </c>
      <c r="J210" s="6" t="s">
        <v>751</v>
      </c>
      <c r="K210" s="6">
        <v>3528</v>
      </c>
    </row>
    <row r="211" spans="1:11" x14ac:dyDescent="0.25">
      <c r="A211" s="2">
        <v>2</v>
      </c>
      <c r="B211" t="str">
        <f>IFERROR((_xlfn.XLOOKUP(A211,Diretriz!A:A,Diretriz!B:B)),"")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11" s="2" t="s">
        <v>9</v>
      </c>
      <c r="D211" t="str">
        <f>IFERROR((_xlfn.XLOOKUP(C211,Objetivo!C:C,Objetivo!D:D)), "")</f>
        <v>Programar, executar e coordenar a política de sangue, seus componentes e derivados no estado do Maranhão no âmbito da hemoterapia e de hematologia clínica, incluindo suporte diagnostico e atendimentos multidisciplinares.</v>
      </c>
      <c r="E211" s="20" t="s">
        <v>73</v>
      </c>
      <c r="F211" s="19" t="str">
        <f>IFERROR(_xlfn.XLOOKUP(E211,#REF!,#REF!), "")</f>
        <v/>
      </c>
      <c r="G211" s="20" t="s">
        <v>609</v>
      </c>
      <c r="H211" t="s">
        <v>328</v>
      </c>
      <c r="I211" s="6" t="s">
        <v>785</v>
      </c>
      <c r="J211" s="6" t="s">
        <v>751</v>
      </c>
      <c r="K211" s="6">
        <v>1247</v>
      </c>
    </row>
    <row r="212" spans="1:11" x14ac:dyDescent="0.25">
      <c r="A212" s="2">
        <v>2</v>
      </c>
      <c r="B212" t="str">
        <f>IFERROR((_xlfn.XLOOKUP(A212,Diretriz!A:A,Diretriz!B:B)),"")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12" s="2" t="s">
        <v>9</v>
      </c>
      <c r="D212" t="str">
        <f>IFERROR((_xlfn.XLOOKUP(C212,Objetivo!C:C,Objetivo!D:D)), "")</f>
        <v>Programar, executar e coordenar a política de sangue, seus componentes e derivados no estado do Maranhão no âmbito da hemoterapia e de hematologia clínica, incluindo suporte diagnostico e atendimentos multidisciplinares.</v>
      </c>
      <c r="E212" s="20" t="s">
        <v>73</v>
      </c>
      <c r="F212" s="19" t="str">
        <f>IFERROR(_xlfn.XLOOKUP(E212,#REF!,#REF!), "")</f>
        <v/>
      </c>
      <c r="G212" s="20" t="s">
        <v>610</v>
      </c>
      <c r="H212" t="s">
        <v>329</v>
      </c>
      <c r="I212" s="6" t="s">
        <v>785</v>
      </c>
      <c r="J212" s="6" t="s">
        <v>751</v>
      </c>
      <c r="K212" s="6">
        <v>2719</v>
      </c>
    </row>
    <row r="213" spans="1:11" x14ac:dyDescent="0.25">
      <c r="A213" s="2">
        <v>2</v>
      </c>
      <c r="B213" t="str">
        <f>IFERROR((_xlfn.XLOOKUP(A213,Diretriz!A:A,Diretriz!B:B)),"")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13" s="2" t="s">
        <v>9</v>
      </c>
      <c r="D213" t="str">
        <f>IFERROR((_xlfn.XLOOKUP(C213,Objetivo!C:C,Objetivo!D:D)), "")</f>
        <v>Programar, executar e coordenar a política de sangue, seus componentes e derivados no estado do Maranhão no âmbito da hemoterapia e de hematologia clínica, incluindo suporte diagnostico e atendimentos multidisciplinares.</v>
      </c>
      <c r="E213" s="20" t="s">
        <v>74</v>
      </c>
      <c r="F213" s="19" t="str">
        <f>IFERROR(_xlfn.XLOOKUP(E213,#REF!,#REF!), "")</f>
        <v/>
      </c>
      <c r="G213" s="20" t="s">
        <v>611</v>
      </c>
      <c r="H213" t="s">
        <v>330</v>
      </c>
      <c r="I213" s="6" t="s">
        <v>786</v>
      </c>
      <c r="J213" s="6" t="s">
        <v>751</v>
      </c>
      <c r="K213" s="6">
        <v>839048</v>
      </c>
    </row>
    <row r="214" spans="1:11" x14ac:dyDescent="0.25">
      <c r="A214" s="2">
        <v>2</v>
      </c>
      <c r="B214" t="str">
        <f>IFERROR((_xlfn.XLOOKUP(A214,Diretriz!A:A,Diretriz!B:B)),"")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14" s="2" t="s">
        <v>9</v>
      </c>
      <c r="D214" t="str">
        <f>IFERROR((_xlfn.XLOOKUP(C214,Objetivo!C:C,Objetivo!D:D)), "")</f>
        <v>Programar, executar e coordenar a política de sangue, seus componentes e derivados no estado do Maranhão no âmbito da hemoterapia e de hematologia clínica, incluindo suporte diagnostico e atendimentos multidisciplinares.</v>
      </c>
      <c r="E214" s="20" t="s">
        <v>74</v>
      </c>
      <c r="F214" s="19" t="str">
        <f>IFERROR(_xlfn.XLOOKUP(E214,#REF!,#REF!), "")</f>
        <v/>
      </c>
      <c r="G214" s="20" t="s">
        <v>612</v>
      </c>
      <c r="H214" t="s">
        <v>331</v>
      </c>
      <c r="I214" s="6" t="s">
        <v>786</v>
      </c>
      <c r="J214" s="6" t="s">
        <v>751</v>
      </c>
      <c r="K214" s="6">
        <v>475184</v>
      </c>
    </row>
    <row r="215" spans="1:11" x14ac:dyDescent="0.25">
      <c r="A215" s="2">
        <v>2</v>
      </c>
      <c r="B215" t="str">
        <f>IFERROR((_xlfn.XLOOKUP(A215,Diretriz!A:A,Diretriz!B:B)),"")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15" s="2" t="s">
        <v>9</v>
      </c>
      <c r="D215" t="str">
        <f>IFERROR((_xlfn.XLOOKUP(C215,Objetivo!C:C,Objetivo!D:D)), "")</f>
        <v>Programar, executar e coordenar a política de sangue, seus componentes e derivados no estado do Maranhão no âmbito da hemoterapia e de hematologia clínica, incluindo suporte diagnostico e atendimentos multidisciplinares.</v>
      </c>
      <c r="E215" s="20" t="s">
        <v>74</v>
      </c>
      <c r="F215" s="19" t="str">
        <f>IFERROR(_xlfn.XLOOKUP(E215,#REF!,#REF!), "")</f>
        <v/>
      </c>
      <c r="G215" s="20" t="s">
        <v>613</v>
      </c>
      <c r="H215" t="s">
        <v>332</v>
      </c>
      <c r="I215" s="6" t="s">
        <v>786</v>
      </c>
      <c r="J215" s="6" t="s">
        <v>751</v>
      </c>
      <c r="K215" s="6">
        <v>168092</v>
      </c>
    </row>
    <row r="216" spans="1:11" x14ac:dyDescent="0.25">
      <c r="A216" s="2">
        <v>2</v>
      </c>
      <c r="B216" t="str">
        <f>IFERROR((_xlfn.XLOOKUP(A216,Diretriz!A:A,Diretriz!B:B)),"")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16" s="2" t="s">
        <v>9</v>
      </c>
      <c r="D216" t="str">
        <f>IFERROR((_xlfn.XLOOKUP(C216,Objetivo!C:C,Objetivo!D:D)), "")</f>
        <v>Programar, executar e coordenar a política de sangue, seus componentes e derivados no estado do Maranhão no âmbito da hemoterapia e de hematologia clínica, incluindo suporte diagnostico e atendimentos multidisciplinares.</v>
      </c>
      <c r="E216" s="20" t="s">
        <v>74</v>
      </c>
      <c r="F216" s="19" t="str">
        <f>IFERROR(_xlfn.XLOOKUP(E216,#REF!,#REF!), "")</f>
        <v/>
      </c>
      <c r="G216" s="20" t="s">
        <v>614</v>
      </c>
      <c r="H216" t="s">
        <v>333</v>
      </c>
      <c r="I216" s="6" t="s">
        <v>786</v>
      </c>
      <c r="J216" s="6" t="s">
        <v>751</v>
      </c>
      <c r="K216" s="6">
        <v>97117</v>
      </c>
    </row>
    <row r="217" spans="1:11" x14ac:dyDescent="0.25">
      <c r="A217" s="2">
        <v>2</v>
      </c>
      <c r="B217" t="str">
        <f>IFERROR((_xlfn.XLOOKUP(A217,Diretriz!A:A,Diretriz!B:B)),"")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17" s="2" t="s">
        <v>9</v>
      </c>
      <c r="D217" t="str">
        <f>IFERROR((_xlfn.XLOOKUP(C217,Objetivo!C:C,Objetivo!D:D)), "")</f>
        <v>Programar, executar e coordenar a política de sangue, seus componentes e derivados no estado do Maranhão no âmbito da hemoterapia e de hematologia clínica, incluindo suporte diagnostico e atendimentos multidisciplinares.</v>
      </c>
      <c r="E217" s="20" t="s">
        <v>74</v>
      </c>
      <c r="F217" s="19" t="str">
        <f>IFERROR(_xlfn.XLOOKUP(E217,#REF!,#REF!), "")</f>
        <v/>
      </c>
      <c r="G217" s="20" t="s">
        <v>615</v>
      </c>
      <c r="H217" t="s">
        <v>334</v>
      </c>
      <c r="I217" s="6" t="s">
        <v>786</v>
      </c>
      <c r="J217" s="6" t="s">
        <v>751</v>
      </c>
      <c r="K217" s="6">
        <v>7536</v>
      </c>
    </row>
    <row r="218" spans="1:11" x14ac:dyDescent="0.25">
      <c r="A218" s="2">
        <v>2</v>
      </c>
      <c r="B218" t="str">
        <f>IFERROR((_xlfn.XLOOKUP(A218,Diretriz!A:A,Diretriz!B:B)),"")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18" s="2" t="s">
        <v>10</v>
      </c>
      <c r="D218" t="str">
        <f>IFERROR((_xlfn.XLOOKUP(C218,Objetivo!C:C,Objetivo!D:D)), "")</f>
        <v>Realizar assistência de combate ao cancer na média e alta complexidade.</v>
      </c>
      <c r="E218" s="20" t="s">
        <v>75</v>
      </c>
      <c r="F218" s="19" t="str">
        <f>IFERROR(_xlfn.XLOOKUP(E218,#REF!,#REF!), "")</f>
        <v/>
      </c>
      <c r="G218" s="20" t="s">
        <v>616</v>
      </c>
      <c r="H218" t="s">
        <v>335</v>
      </c>
      <c r="I218" s="6" t="s">
        <v>787</v>
      </c>
      <c r="J218" s="6" t="s">
        <v>751</v>
      </c>
      <c r="K218" s="6">
        <v>1</v>
      </c>
    </row>
    <row r="219" spans="1:11" x14ac:dyDescent="0.25">
      <c r="A219" s="2">
        <v>2</v>
      </c>
      <c r="B219" t="str">
        <f>IFERROR((_xlfn.XLOOKUP(A219,Diretriz!A:A,Diretriz!B:B)),"")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19" s="2" t="s">
        <v>10</v>
      </c>
      <c r="D219" t="str">
        <f>IFERROR((_xlfn.XLOOKUP(C219,Objetivo!C:C,Objetivo!D:D)), "")</f>
        <v>Realizar assistência de combate ao cancer na média e alta complexidade.</v>
      </c>
      <c r="E219" s="20" t="s">
        <v>75</v>
      </c>
      <c r="F219" s="19" t="str">
        <f>IFERROR(_xlfn.XLOOKUP(E219,#REF!,#REF!), "")</f>
        <v/>
      </c>
      <c r="G219" s="20" t="s">
        <v>617</v>
      </c>
      <c r="H219" t="s">
        <v>336</v>
      </c>
      <c r="I219" s="6" t="s">
        <v>787</v>
      </c>
      <c r="J219" s="6" t="s">
        <v>751</v>
      </c>
      <c r="K219" s="6">
        <v>1</v>
      </c>
    </row>
    <row r="220" spans="1:11" x14ac:dyDescent="0.25">
      <c r="A220" s="2">
        <v>2</v>
      </c>
      <c r="B220" t="str">
        <f>IFERROR((_xlfn.XLOOKUP(A220,Diretriz!A:A,Diretriz!B:B)),"")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20" s="2" t="s">
        <v>10</v>
      </c>
      <c r="D220" t="str">
        <f>IFERROR((_xlfn.XLOOKUP(C220,Objetivo!C:C,Objetivo!D:D)), "")</f>
        <v>Realizar assistência de combate ao cancer na média e alta complexidade.</v>
      </c>
      <c r="E220" s="20" t="s">
        <v>75</v>
      </c>
      <c r="F220" s="19" t="str">
        <f>IFERROR(_xlfn.XLOOKUP(E220,#REF!,#REF!), "")</f>
        <v/>
      </c>
      <c r="G220" s="20" t="s">
        <v>618</v>
      </c>
      <c r="H220" t="s">
        <v>337</v>
      </c>
      <c r="I220" s="6" t="s">
        <v>788</v>
      </c>
      <c r="J220" s="6" t="s">
        <v>751</v>
      </c>
      <c r="K220" s="6">
        <v>1000</v>
      </c>
    </row>
    <row r="221" spans="1:11" x14ac:dyDescent="0.25">
      <c r="A221" s="2">
        <v>2</v>
      </c>
      <c r="B221" t="str">
        <f>IFERROR((_xlfn.XLOOKUP(A221,Diretriz!A:A,Diretriz!B:B)),"")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21" s="2" t="s">
        <v>10</v>
      </c>
      <c r="D221" t="str">
        <f>IFERROR((_xlfn.XLOOKUP(C221,Objetivo!C:C,Objetivo!D:D)), "")</f>
        <v>Realizar assistência de combate ao cancer na média e alta complexidade.</v>
      </c>
      <c r="E221" s="20" t="s">
        <v>75</v>
      </c>
      <c r="F221" s="19" t="str">
        <f>IFERROR(_xlfn.XLOOKUP(E221,#REF!,#REF!), "")</f>
        <v/>
      </c>
      <c r="G221" s="20" t="s">
        <v>619</v>
      </c>
      <c r="H221" t="s">
        <v>338</v>
      </c>
      <c r="I221" s="6" t="s">
        <v>725</v>
      </c>
      <c r="J221" s="6" t="s">
        <v>751</v>
      </c>
      <c r="K221" s="6">
        <v>1500</v>
      </c>
    </row>
    <row r="222" spans="1:11" x14ac:dyDescent="0.25">
      <c r="A222" s="2">
        <v>2</v>
      </c>
      <c r="B222" t="str">
        <f>IFERROR((_xlfn.XLOOKUP(A222,Diretriz!A:A,Diretriz!B:B)),"")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22" s="2" t="s">
        <v>10</v>
      </c>
      <c r="D222" t="str">
        <f>IFERROR((_xlfn.XLOOKUP(C222,Objetivo!C:C,Objetivo!D:D)), "")</f>
        <v>Realizar assistência de combate ao cancer na média e alta complexidade.</v>
      </c>
      <c r="E222" s="20" t="s">
        <v>76</v>
      </c>
      <c r="F222" s="19" t="str">
        <f>IFERROR(_xlfn.XLOOKUP(E222,#REF!,#REF!), "")</f>
        <v/>
      </c>
      <c r="G222" s="20" t="s">
        <v>620</v>
      </c>
      <c r="H222" t="s">
        <v>339</v>
      </c>
      <c r="I222" s="6" t="s">
        <v>789</v>
      </c>
      <c r="J222" s="6" t="s">
        <v>751</v>
      </c>
      <c r="K222" s="6">
        <v>1500</v>
      </c>
    </row>
    <row r="223" spans="1:11" x14ac:dyDescent="0.25">
      <c r="A223" s="2">
        <v>2</v>
      </c>
      <c r="B223" t="str">
        <f>IFERROR((_xlfn.XLOOKUP(A223,Diretriz!A:A,Diretriz!B:B)),"")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23" s="2" t="s">
        <v>10</v>
      </c>
      <c r="D223" t="str">
        <f>IFERROR((_xlfn.XLOOKUP(C223,Objetivo!C:C,Objetivo!D:D)), "")</f>
        <v>Realizar assistência de combate ao cancer na média e alta complexidade.</v>
      </c>
      <c r="E223" s="20" t="s">
        <v>76</v>
      </c>
      <c r="F223" s="19" t="str">
        <f>IFERROR(_xlfn.XLOOKUP(E223,#REF!,#REF!), "")</f>
        <v/>
      </c>
      <c r="G223" s="20" t="s">
        <v>621</v>
      </c>
      <c r="H223" t="s">
        <v>340</v>
      </c>
      <c r="I223" s="6" t="s">
        <v>736</v>
      </c>
      <c r="J223" s="6" t="s">
        <v>751</v>
      </c>
      <c r="K223" s="6">
        <v>1</v>
      </c>
    </row>
    <row r="224" spans="1:11" x14ac:dyDescent="0.25">
      <c r="A224" s="2">
        <v>2</v>
      </c>
      <c r="B224" t="str">
        <f>IFERROR((_xlfn.XLOOKUP(A224,Diretriz!A:A,Diretriz!B:B)),"")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24" s="2" t="s">
        <v>11</v>
      </c>
      <c r="D224" t="str">
        <f>IFERROR((_xlfn.XLOOKUP(C224,Objetivo!C:C,Objetivo!D:D)), "")</f>
        <v>Ampliar e modernizar a infraestrutura de unidades de saúde, de acordo com perfil assistencial definido.</v>
      </c>
      <c r="E224" s="20" t="s">
        <v>77</v>
      </c>
      <c r="F224" s="19" t="str">
        <f>IFERROR(_xlfn.XLOOKUP(E224,#REF!,#REF!), "")</f>
        <v/>
      </c>
      <c r="G224" s="20" t="s">
        <v>622</v>
      </c>
      <c r="H224" t="s">
        <v>341</v>
      </c>
      <c r="I224" s="6" t="s">
        <v>790</v>
      </c>
      <c r="J224" s="6" t="s">
        <v>751</v>
      </c>
      <c r="K224" s="6">
        <v>1</v>
      </c>
    </row>
    <row r="225" spans="1:11" x14ac:dyDescent="0.25">
      <c r="A225" s="2">
        <v>2</v>
      </c>
      <c r="B225" t="str">
        <f>IFERROR((_xlfn.XLOOKUP(A225,Diretriz!A:A,Diretriz!B:B)),"")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25" s="2" t="s">
        <v>11</v>
      </c>
      <c r="D225" t="str">
        <f>IFERROR((_xlfn.XLOOKUP(C225,Objetivo!C:C,Objetivo!D:D)), "")</f>
        <v>Ampliar e modernizar a infraestrutura de unidades de saúde, de acordo com perfil assistencial definido.</v>
      </c>
      <c r="E225" s="20" t="s">
        <v>77</v>
      </c>
      <c r="F225" s="19" t="str">
        <f>IFERROR(_xlfn.XLOOKUP(E225,#REF!,#REF!), "")</f>
        <v/>
      </c>
      <c r="G225" s="20" t="s">
        <v>623</v>
      </c>
      <c r="H225" t="s">
        <v>342</v>
      </c>
      <c r="I225" s="6" t="s">
        <v>790</v>
      </c>
      <c r="J225" s="6" t="s">
        <v>751</v>
      </c>
      <c r="K225" s="6">
        <v>1</v>
      </c>
    </row>
    <row r="226" spans="1:11" x14ac:dyDescent="0.25">
      <c r="A226" s="2">
        <v>2</v>
      </c>
      <c r="B226" t="str">
        <f>IFERROR((_xlfn.XLOOKUP(A226,Diretriz!A:A,Diretriz!B:B)),"")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26" s="2" t="s">
        <v>11</v>
      </c>
      <c r="D226" t="str">
        <f>IFERROR((_xlfn.XLOOKUP(C226,Objetivo!C:C,Objetivo!D:D)), "")</f>
        <v>Ampliar e modernizar a infraestrutura de unidades de saúde, de acordo com perfil assistencial definido.</v>
      </c>
      <c r="E226" s="20" t="s">
        <v>77</v>
      </c>
      <c r="F226" s="19" t="str">
        <f>IFERROR(_xlfn.XLOOKUP(E226,#REF!,#REF!), "")</f>
        <v/>
      </c>
      <c r="G226" s="20" t="s">
        <v>624</v>
      </c>
      <c r="H226" t="s">
        <v>343</v>
      </c>
      <c r="I226" s="6" t="s">
        <v>790</v>
      </c>
      <c r="J226" s="6" t="s">
        <v>751</v>
      </c>
      <c r="K226" s="6">
        <v>1</v>
      </c>
    </row>
    <row r="227" spans="1:11" x14ac:dyDescent="0.25">
      <c r="A227" s="2">
        <v>2</v>
      </c>
      <c r="B227" t="str">
        <f>IFERROR((_xlfn.XLOOKUP(A227,Diretriz!A:A,Diretriz!B:B)),"")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27" s="2" t="s">
        <v>11</v>
      </c>
      <c r="D227" t="str">
        <f>IFERROR((_xlfn.XLOOKUP(C227,Objetivo!C:C,Objetivo!D:D)), "")</f>
        <v>Ampliar e modernizar a infraestrutura de unidades de saúde, de acordo com perfil assistencial definido.</v>
      </c>
      <c r="E227" s="20" t="s">
        <v>77</v>
      </c>
      <c r="F227" s="19" t="str">
        <f>IFERROR(_xlfn.XLOOKUP(E227,#REF!,#REF!), "")</f>
        <v/>
      </c>
      <c r="G227" s="20" t="s">
        <v>625</v>
      </c>
      <c r="H227" t="s">
        <v>344</v>
      </c>
      <c r="I227" s="6" t="s">
        <v>790</v>
      </c>
      <c r="J227" s="6" t="s">
        <v>751</v>
      </c>
      <c r="K227" s="6">
        <v>1</v>
      </c>
    </row>
    <row r="228" spans="1:11" x14ac:dyDescent="0.25">
      <c r="A228" s="2">
        <v>2</v>
      </c>
      <c r="B228" t="str">
        <f>IFERROR((_xlfn.XLOOKUP(A228,Diretriz!A:A,Diretriz!B:B)),"")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28" s="2" t="s">
        <v>11</v>
      </c>
      <c r="D228" t="str">
        <f>IFERROR((_xlfn.XLOOKUP(C228,Objetivo!C:C,Objetivo!D:D)), "")</f>
        <v>Ampliar e modernizar a infraestrutura de unidades de saúde, de acordo com perfil assistencial definido.</v>
      </c>
      <c r="E228" s="20" t="s">
        <v>77</v>
      </c>
      <c r="F228" s="19" t="str">
        <f>IFERROR(_xlfn.XLOOKUP(E228,#REF!,#REF!), "")</f>
        <v/>
      </c>
      <c r="G228" s="20" t="s">
        <v>626</v>
      </c>
      <c r="H228" t="s">
        <v>345</v>
      </c>
      <c r="I228" s="6" t="s">
        <v>790</v>
      </c>
      <c r="J228" s="6" t="s">
        <v>751</v>
      </c>
      <c r="K228" s="6">
        <v>1</v>
      </c>
    </row>
    <row r="229" spans="1:11" x14ac:dyDescent="0.25">
      <c r="A229" s="2">
        <v>2</v>
      </c>
      <c r="B229" t="str">
        <f>IFERROR((_xlfn.XLOOKUP(A229,Diretriz!A:A,Diretriz!B:B)),"")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29" s="2" t="s">
        <v>11</v>
      </c>
      <c r="D229" t="str">
        <f>IFERROR((_xlfn.XLOOKUP(C229,Objetivo!C:C,Objetivo!D:D)), "")</f>
        <v>Ampliar e modernizar a infraestrutura de unidades de saúde, de acordo com perfil assistencial definido.</v>
      </c>
      <c r="E229" s="20" t="s">
        <v>77</v>
      </c>
      <c r="F229" s="19" t="str">
        <f>IFERROR(_xlfn.XLOOKUP(E229,#REF!,#REF!), "")</f>
        <v/>
      </c>
      <c r="G229" s="20" t="s">
        <v>627</v>
      </c>
      <c r="H229" t="s">
        <v>346</v>
      </c>
      <c r="I229" s="6" t="s">
        <v>790</v>
      </c>
      <c r="J229" s="6" t="s">
        <v>751</v>
      </c>
      <c r="K229" s="6">
        <v>1</v>
      </c>
    </row>
    <row r="230" spans="1:11" x14ac:dyDescent="0.25">
      <c r="A230" s="2">
        <v>2</v>
      </c>
      <c r="B230" t="str">
        <f>IFERROR((_xlfn.XLOOKUP(A230,Diretriz!A:A,Diretriz!B:B)),"")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30" s="2" t="s">
        <v>11</v>
      </c>
      <c r="D230" t="str">
        <f>IFERROR((_xlfn.XLOOKUP(C230,Objetivo!C:C,Objetivo!D:D)), "")</f>
        <v>Ampliar e modernizar a infraestrutura de unidades de saúde, de acordo com perfil assistencial definido.</v>
      </c>
      <c r="E230" s="20" t="s">
        <v>77</v>
      </c>
      <c r="F230" s="19" t="str">
        <f>IFERROR(_xlfn.XLOOKUP(E230,#REF!,#REF!), "")</f>
        <v/>
      </c>
      <c r="G230" s="20" t="s">
        <v>628</v>
      </c>
      <c r="H230" t="s">
        <v>347</v>
      </c>
      <c r="I230" s="6" t="s">
        <v>790</v>
      </c>
      <c r="J230" s="6" t="s">
        <v>751</v>
      </c>
      <c r="K230" s="6">
        <v>1</v>
      </c>
    </row>
    <row r="231" spans="1:11" x14ac:dyDescent="0.25">
      <c r="A231" s="2">
        <v>2</v>
      </c>
      <c r="B231" t="str">
        <f>IFERROR((_xlfn.XLOOKUP(A231,Diretriz!A:A,Diretriz!B:B)),"")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31" s="2" t="s">
        <v>11</v>
      </c>
      <c r="D231" t="str">
        <f>IFERROR((_xlfn.XLOOKUP(C231,Objetivo!C:C,Objetivo!D:D)), "")</f>
        <v>Ampliar e modernizar a infraestrutura de unidades de saúde, de acordo com perfil assistencial definido.</v>
      </c>
      <c r="E231" s="20" t="s">
        <v>77</v>
      </c>
      <c r="F231" s="19" t="str">
        <f>IFERROR(_xlfn.XLOOKUP(E231,#REF!,#REF!), "")</f>
        <v/>
      </c>
      <c r="G231" s="20" t="s">
        <v>629</v>
      </c>
      <c r="H231" t="s">
        <v>348</v>
      </c>
      <c r="I231" s="6" t="s">
        <v>790</v>
      </c>
      <c r="J231" s="6" t="s">
        <v>751</v>
      </c>
      <c r="K231" s="6">
        <v>1</v>
      </c>
    </row>
    <row r="232" spans="1:11" x14ac:dyDescent="0.25">
      <c r="A232" s="2">
        <v>2</v>
      </c>
      <c r="B232" t="str">
        <f>IFERROR((_xlfn.XLOOKUP(A232,Diretriz!A:A,Diretriz!B:B)),"")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32" s="2" t="s">
        <v>11</v>
      </c>
      <c r="D232" t="str">
        <f>IFERROR((_xlfn.XLOOKUP(C232,Objetivo!C:C,Objetivo!D:D)), "")</f>
        <v>Ampliar e modernizar a infraestrutura de unidades de saúde, de acordo com perfil assistencial definido.</v>
      </c>
      <c r="E232" s="20" t="s">
        <v>77</v>
      </c>
      <c r="F232" s="19" t="str">
        <f>IFERROR(_xlfn.XLOOKUP(E232,#REF!,#REF!), "")</f>
        <v/>
      </c>
      <c r="G232" s="20" t="s">
        <v>630</v>
      </c>
      <c r="H232" t="s">
        <v>349</v>
      </c>
      <c r="I232" s="6" t="s">
        <v>790</v>
      </c>
      <c r="J232" s="6" t="s">
        <v>751</v>
      </c>
      <c r="K232" s="6">
        <v>1</v>
      </c>
    </row>
    <row r="233" spans="1:11" x14ac:dyDescent="0.25">
      <c r="A233" s="2">
        <v>2</v>
      </c>
      <c r="B233" t="str">
        <f>IFERROR((_xlfn.XLOOKUP(A233,Diretriz!A:A,Diretriz!B:B)),"")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33" s="2" t="s">
        <v>11</v>
      </c>
      <c r="D233" t="str">
        <f>IFERROR((_xlfn.XLOOKUP(C233,Objetivo!C:C,Objetivo!D:D)), "")</f>
        <v>Ampliar e modernizar a infraestrutura de unidades de saúde, de acordo com perfil assistencial definido.</v>
      </c>
      <c r="E233" s="20" t="s">
        <v>77</v>
      </c>
      <c r="F233" s="19" t="str">
        <f>IFERROR(_xlfn.XLOOKUP(E233,#REF!,#REF!), "")</f>
        <v/>
      </c>
      <c r="G233" s="20" t="s">
        <v>631</v>
      </c>
      <c r="H233" t="s">
        <v>350</v>
      </c>
      <c r="I233" s="6" t="s">
        <v>790</v>
      </c>
      <c r="J233" s="6" t="s">
        <v>751</v>
      </c>
      <c r="K233" s="6">
        <v>1</v>
      </c>
    </row>
    <row r="234" spans="1:11" x14ac:dyDescent="0.25">
      <c r="A234" s="2">
        <v>2</v>
      </c>
      <c r="B234" t="str">
        <f>IFERROR((_xlfn.XLOOKUP(A234,Diretriz!A:A,Diretriz!B:B)),"")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34" s="2" t="s">
        <v>11</v>
      </c>
      <c r="D234" t="str">
        <f>IFERROR((_xlfn.XLOOKUP(C234,Objetivo!C:C,Objetivo!D:D)), "")</f>
        <v>Ampliar e modernizar a infraestrutura de unidades de saúde, de acordo com perfil assistencial definido.</v>
      </c>
      <c r="E234" s="20" t="s">
        <v>77</v>
      </c>
      <c r="F234" s="19" t="str">
        <f>IFERROR(_xlfn.XLOOKUP(E234,#REF!,#REF!), "")</f>
        <v/>
      </c>
      <c r="G234" s="20" t="s">
        <v>632</v>
      </c>
      <c r="H234" t="s">
        <v>351</v>
      </c>
      <c r="I234" s="6" t="s">
        <v>790</v>
      </c>
      <c r="J234" s="6" t="s">
        <v>751</v>
      </c>
      <c r="K234" s="6">
        <v>1</v>
      </c>
    </row>
    <row r="235" spans="1:11" x14ac:dyDescent="0.25">
      <c r="A235" s="2">
        <v>2</v>
      </c>
      <c r="B235" t="str">
        <f>IFERROR((_xlfn.XLOOKUP(A235,Diretriz!A:A,Diretriz!B:B)),"")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35" s="2" t="s">
        <v>11</v>
      </c>
      <c r="D235" t="str">
        <f>IFERROR((_xlfn.XLOOKUP(C235,Objetivo!C:C,Objetivo!D:D)), "")</f>
        <v>Ampliar e modernizar a infraestrutura de unidades de saúde, de acordo com perfil assistencial definido.</v>
      </c>
      <c r="E235" s="20" t="s">
        <v>78</v>
      </c>
      <c r="F235" s="19" t="str">
        <f>IFERROR(_xlfn.XLOOKUP(E235,#REF!,#REF!), "")</f>
        <v/>
      </c>
      <c r="G235" s="20" t="s">
        <v>633</v>
      </c>
      <c r="H235" t="s">
        <v>352</v>
      </c>
      <c r="I235" s="6" t="s">
        <v>791</v>
      </c>
      <c r="J235" s="6" t="s">
        <v>751</v>
      </c>
      <c r="K235" s="6">
        <v>1</v>
      </c>
    </row>
    <row r="236" spans="1:11" x14ac:dyDescent="0.25">
      <c r="A236" s="2">
        <v>2</v>
      </c>
      <c r="B236" t="str">
        <f>IFERROR((_xlfn.XLOOKUP(A236,Diretriz!A:A,Diretriz!B:B)),"")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36" s="2" t="s">
        <v>11</v>
      </c>
      <c r="D236" t="str">
        <f>IFERROR((_xlfn.XLOOKUP(C236,Objetivo!C:C,Objetivo!D:D)), "")</f>
        <v>Ampliar e modernizar a infraestrutura de unidades de saúde, de acordo com perfil assistencial definido.</v>
      </c>
      <c r="E236" s="20" t="s">
        <v>78</v>
      </c>
      <c r="F236" s="19" t="str">
        <f>IFERROR(_xlfn.XLOOKUP(E236,#REF!,#REF!), "")</f>
        <v/>
      </c>
      <c r="G236" s="20" t="s">
        <v>634</v>
      </c>
      <c r="H236" t="s">
        <v>353</v>
      </c>
      <c r="I236" s="6" t="s">
        <v>792</v>
      </c>
      <c r="J236" s="6" t="s">
        <v>752</v>
      </c>
      <c r="K236" s="6">
        <v>100</v>
      </c>
    </row>
    <row r="237" spans="1:11" x14ac:dyDescent="0.25">
      <c r="A237" s="2">
        <v>2</v>
      </c>
      <c r="B237" t="str">
        <f>IFERROR((_xlfn.XLOOKUP(A237,Diretriz!A:A,Diretriz!B:B)),"")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37" s="2" t="s">
        <v>11</v>
      </c>
      <c r="D237" t="str">
        <f>IFERROR((_xlfn.XLOOKUP(C237,Objetivo!C:C,Objetivo!D:D)), "")</f>
        <v>Ampliar e modernizar a infraestrutura de unidades de saúde, de acordo com perfil assistencial definido.</v>
      </c>
      <c r="E237" s="20" t="s">
        <v>78</v>
      </c>
      <c r="F237" s="19" t="str">
        <f>IFERROR(_xlfn.XLOOKUP(E237,#REF!,#REF!), "")</f>
        <v/>
      </c>
      <c r="G237" s="20" t="s">
        <v>635</v>
      </c>
      <c r="H237" t="s">
        <v>354</v>
      </c>
      <c r="I237" s="6" t="s">
        <v>793</v>
      </c>
      <c r="J237" s="6" t="s">
        <v>751</v>
      </c>
      <c r="K237" s="6">
        <v>1</v>
      </c>
    </row>
    <row r="238" spans="1:11" x14ac:dyDescent="0.25">
      <c r="A238" s="2">
        <v>2</v>
      </c>
      <c r="B238" t="str">
        <f>IFERROR((_xlfn.XLOOKUP(A238,Diretriz!A:A,Diretriz!B:B)),"")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38" s="2" t="s">
        <v>11</v>
      </c>
      <c r="D238" t="str">
        <f>IFERROR((_xlfn.XLOOKUP(C238,Objetivo!C:C,Objetivo!D:D)), "")</f>
        <v>Ampliar e modernizar a infraestrutura de unidades de saúde, de acordo com perfil assistencial definido.</v>
      </c>
      <c r="E238" s="20" t="s">
        <v>78</v>
      </c>
      <c r="F238" s="19" t="str">
        <f>IFERROR(_xlfn.XLOOKUP(E238,#REF!,#REF!), "")</f>
        <v/>
      </c>
      <c r="G238" s="20" t="s">
        <v>636</v>
      </c>
      <c r="H238" t="s">
        <v>355</v>
      </c>
      <c r="I238" s="6" t="s">
        <v>794</v>
      </c>
      <c r="J238" s="6" t="s">
        <v>751</v>
      </c>
      <c r="K238" s="6">
        <v>1</v>
      </c>
    </row>
    <row r="239" spans="1:11" x14ac:dyDescent="0.25">
      <c r="A239" s="2">
        <v>2</v>
      </c>
      <c r="B239" t="str">
        <f>IFERROR((_xlfn.XLOOKUP(A239,Diretriz!A:A,Diretriz!B:B)),"")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39" s="2" t="s">
        <v>11</v>
      </c>
      <c r="D239" t="str">
        <f>IFERROR((_xlfn.XLOOKUP(C239,Objetivo!C:C,Objetivo!D:D)), "")</f>
        <v>Ampliar e modernizar a infraestrutura de unidades de saúde, de acordo com perfil assistencial definido.</v>
      </c>
      <c r="E239" s="20" t="s">
        <v>78</v>
      </c>
      <c r="F239" s="19" t="str">
        <f>IFERROR(_xlfn.XLOOKUP(E239,#REF!,#REF!), "")</f>
        <v/>
      </c>
      <c r="G239" s="20" t="s">
        <v>637</v>
      </c>
      <c r="H239" t="s">
        <v>356</v>
      </c>
      <c r="I239" s="6" t="s">
        <v>795</v>
      </c>
      <c r="J239" s="6" t="s">
        <v>751</v>
      </c>
      <c r="K239" s="6">
        <v>1</v>
      </c>
    </row>
    <row r="240" spans="1:11" x14ac:dyDescent="0.25">
      <c r="A240" s="2">
        <v>2</v>
      </c>
      <c r="B240" t="str">
        <f>IFERROR((_xlfn.XLOOKUP(A240,Diretriz!A:A,Diretriz!B:B)),"")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40" s="2" t="s">
        <v>11</v>
      </c>
      <c r="D240" t="str">
        <f>IFERROR((_xlfn.XLOOKUP(C240,Objetivo!C:C,Objetivo!D:D)), "")</f>
        <v>Ampliar e modernizar a infraestrutura de unidades de saúde, de acordo com perfil assistencial definido.</v>
      </c>
      <c r="E240" s="20" t="s">
        <v>78</v>
      </c>
      <c r="F240" s="19" t="str">
        <f>IFERROR(_xlfn.XLOOKUP(E240,#REF!,#REF!), "")</f>
        <v/>
      </c>
      <c r="G240" s="20" t="s">
        <v>638</v>
      </c>
      <c r="H240" t="s">
        <v>357</v>
      </c>
      <c r="I240" s="6" t="s">
        <v>796</v>
      </c>
      <c r="J240" s="6" t="s">
        <v>751</v>
      </c>
      <c r="K240" s="6">
        <v>1</v>
      </c>
    </row>
    <row r="241" spans="1:11" x14ac:dyDescent="0.25">
      <c r="A241" s="2">
        <v>2</v>
      </c>
      <c r="B241" t="str">
        <f>IFERROR((_xlfn.XLOOKUP(A241,Diretriz!A:A,Diretriz!B:B)),"")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41" s="2" t="s">
        <v>11</v>
      </c>
      <c r="D241" t="str">
        <f>IFERROR((_xlfn.XLOOKUP(C241,Objetivo!C:C,Objetivo!D:D)), "")</f>
        <v>Ampliar e modernizar a infraestrutura de unidades de saúde, de acordo com perfil assistencial definido.</v>
      </c>
      <c r="E241" s="20" t="s">
        <v>78</v>
      </c>
      <c r="F241" s="19" t="str">
        <f>IFERROR(_xlfn.XLOOKUP(E241,#REF!,#REF!), "")</f>
        <v/>
      </c>
      <c r="G241" s="20" t="s">
        <v>639</v>
      </c>
      <c r="H241" t="s">
        <v>358</v>
      </c>
      <c r="I241" s="6" t="s">
        <v>797</v>
      </c>
      <c r="J241" s="6" t="s">
        <v>751</v>
      </c>
      <c r="K241" s="6">
        <v>1</v>
      </c>
    </row>
    <row r="242" spans="1:11" x14ac:dyDescent="0.25">
      <c r="A242" s="2">
        <v>2</v>
      </c>
      <c r="B242" t="str">
        <f>IFERROR((_xlfn.XLOOKUP(A242,Diretriz!A:A,Diretriz!B:B)),"")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42" s="2" t="s">
        <v>11</v>
      </c>
      <c r="D242" t="str">
        <f>IFERROR((_xlfn.XLOOKUP(C242,Objetivo!C:C,Objetivo!D:D)), "")</f>
        <v>Ampliar e modernizar a infraestrutura de unidades de saúde, de acordo com perfil assistencial definido.</v>
      </c>
      <c r="E242" s="20" t="s">
        <v>78</v>
      </c>
      <c r="F242" s="19" t="str">
        <f>IFERROR(_xlfn.XLOOKUP(E242,#REF!,#REF!), "")</f>
        <v/>
      </c>
      <c r="G242" s="20" t="s">
        <v>640</v>
      </c>
      <c r="H242" t="s">
        <v>359</v>
      </c>
      <c r="I242" s="6" t="s">
        <v>797</v>
      </c>
      <c r="J242" s="6" t="s">
        <v>751</v>
      </c>
      <c r="K242" s="6">
        <v>1</v>
      </c>
    </row>
    <row r="243" spans="1:11" x14ac:dyDescent="0.25">
      <c r="A243" s="2">
        <v>2</v>
      </c>
      <c r="B243" t="str">
        <f>IFERROR((_xlfn.XLOOKUP(A243,Diretriz!A:A,Diretriz!B:B)),"")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43" s="2" t="s">
        <v>11</v>
      </c>
      <c r="D243" t="str">
        <f>IFERROR((_xlfn.XLOOKUP(C243,Objetivo!C:C,Objetivo!D:D)), "")</f>
        <v>Ampliar e modernizar a infraestrutura de unidades de saúde, de acordo com perfil assistencial definido.</v>
      </c>
      <c r="E243" s="20" t="s">
        <v>78</v>
      </c>
      <c r="F243" s="19" t="str">
        <f>IFERROR(_xlfn.XLOOKUP(E243,#REF!,#REF!), "")</f>
        <v/>
      </c>
      <c r="G243" s="20" t="s">
        <v>641</v>
      </c>
      <c r="H243" t="s">
        <v>360</v>
      </c>
      <c r="I243" s="6" t="s">
        <v>797</v>
      </c>
      <c r="J243" s="6" t="s">
        <v>751</v>
      </c>
      <c r="K243" s="6">
        <v>1</v>
      </c>
    </row>
    <row r="244" spans="1:11" x14ac:dyDescent="0.25">
      <c r="A244" s="2">
        <v>2</v>
      </c>
      <c r="B244" t="str">
        <f>IFERROR((_xlfn.XLOOKUP(A244,Diretriz!A:A,Diretriz!B:B)),"")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44" s="2" t="s">
        <v>11</v>
      </c>
      <c r="D244" t="str">
        <f>IFERROR((_xlfn.XLOOKUP(C244,Objetivo!C:C,Objetivo!D:D)), "")</f>
        <v>Ampliar e modernizar a infraestrutura de unidades de saúde, de acordo com perfil assistencial definido.</v>
      </c>
      <c r="E244" s="20" t="s">
        <v>78</v>
      </c>
      <c r="F244" s="19" t="str">
        <f>IFERROR(_xlfn.XLOOKUP(E244,#REF!,#REF!), "")</f>
        <v/>
      </c>
      <c r="G244" s="20" t="s">
        <v>642</v>
      </c>
      <c r="H244" t="s">
        <v>361</v>
      </c>
      <c r="I244" s="6" t="s">
        <v>798</v>
      </c>
      <c r="J244" s="6" t="s">
        <v>751</v>
      </c>
      <c r="K244" s="6">
        <v>1</v>
      </c>
    </row>
    <row r="245" spans="1:11" x14ac:dyDescent="0.25">
      <c r="A245" s="2">
        <v>2</v>
      </c>
      <c r="B245" t="str">
        <f>IFERROR((_xlfn.XLOOKUP(A245,Diretriz!A:A,Diretriz!B:B)),"")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45" s="2" t="s">
        <v>11</v>
      </c>
      <c r="D245" t="str">
        <f>IFERROR((_xlfn.XLOOKUP(C245,Objetivo!C:C,Objetivo!D:D)), "")</f>
        <v>Ampliar e modernizar a infraestrutura de unidades de saúde, de acordo com perfil assistencial definido.</v>
      </c>
      <c r="E245" s="20" t="s">
        <v>78</v>
      </c>
      <c r="F245" s="19" t="str">
        <f>IFERROR(_xlfn.XLOOKUP(E245,#REF!,#REF!), "")</f>
        <v/>
      </c>
      <c r="G245" s="20" t="s">
        <v>643</v>
      </c>
      <c r="H245" t="s">
        <v>362</v>
      </c>
      <c r="I245" s="6" t="s">
        <v>799</v>
      </c>
      <c r="J245" s="6" t="s">
        <v>751</v>
      </c>
      <c r="K245" s="6">
        <v>125</v>
      </c>
    </row>
    <row r="246" spans="1:11" x14ac:dyDescent="0.25">
      <c r="A246" s="2">
        <v>2</v>
      </c>
      <c r="B246" t="str">
        <f>IFERROR((_xlfn.XLOOKUP(A246,Diretriz!A:A,Diretriz!B:B)),"")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46" s="2" t="s">
        <v>11</v>
      </c>
      <c r="D246" t="str">
        <f>IFERROR((_xlfn.XLOOKUP(C246,Objetivo!C:C,Objetivo!D:D)), "")</f>
        <v>Ampliar e modernizar a infraestrutura de unidades de saúde, de acordo com perfil assistencial definido.</v>
      </c>
      <c r="E246" s="20" t="s">
        <v>78</v>
      </c>
      <c r="F246" s="19" t="str">
        <f>IFERROR(_xlfn.XLOOKUP(E246,#REF!,#REF!), "")</f>
        <v/>
      </c>
      <c r="G246" s="20" t="s">
        <v>644</v>
      </c>
      <c r="H246" t="s">
        <v>363</v>
      </c>
      <c r="I246" s="6" t="s">
        <v>718</v>
      </c>
      <c r="J246" s="6" t="s">
        <v>751</v>
      </c>
      <c r="K246" s="6">
        <v>10</v>
      </c>
    </row>
    <row r="247" spans="1:11" x14ac:dyDescent="0.25">
      <c r="A247" s="2">
        <v>2</v>
      </c>
      <c r="B247" t="str">
        <f>IFERROR((_xlfn.XLOOKUP(A247,Diretriz!A:A,Diretriz!B:B)),"")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47" s="2" t="s">
        <v>11</v>
      </c>
      <c r="D247" t="str">
        <f>IFERROR((_xlfn.XLOOKUP(C247,Objetivo!C:C,Objetivo!D:D)), "")</f>
        <v>Ampliar e modernizar a infraestrutura de unidades de saúde, de acordo com perfil assistencial definido.</v>
      </c>
      <c r="E247" s="20" t="s">
        <v>78</v>
      </c>
      <c r="F247" s="19" t="str">
        <f>IFERROR(_xlfn.XLOOKUP(E247,#REF!,#REF!), "")</f>
        <v/>
      </c>
      <c r="G247" s="20" t="s">
        <v>645</v>
      </c>
      <c r="H247" t="s">
        <v>364</v>
      </c>
      <c r="I247" s="6" t="s">
        <v>800</v>
      </c>
      <c r="J247" s="6" t="s">
        <v>751</v>
      </c>
      <c r="K247" s="6">
        <v>70</v>
      </c>
    </row>
    <row r="248" spans="1:11" x14ac:dyDescent="0.25">
      <c r="A248" s="2">
        <v>2</v>
      </c>
      <c r="B248" t="str">
        <f>IFERROR((_xlfn.XLOOKUP(A248,Diretriz!A:A,Diretriz!B:B)),"")</f>
        <v>Fortalecimento da Assistência Especializada em Saúde, de Média e Alta Complexidade, de forma ascendente e regionalizada, contemplando as demandas específicas das regiões de saúde, aperfeiçoando o sistema de regulação, garantindo a oferta de serviços de saúde.</v>
      </c>
      <c r="C248" s="2" t="s">
        <v>11</v>
      </c>
      <c r="D248" t="str">
        <f>IFERROR((_xlfn.XLOOKUP(C248,Objetivo!C:C,Objetivo!D:D)), "")</f>
        <v>Ampliar e modernizar a infraestrutura de unidades de saúde, de acordo com perfil assistencial definido.</v>
      </c>
      <c r="E248" s="20" t="s">
        <v>78</v>
      </c>
      <c r="F248" s="19" t="str">
        <f>IFERROR(_xlfn.XLOOKUP(E248,#REF!,#REF!), "")</f>
        <v/>
      </c>
      <c r="G248" s="20" t="s">
        <v>646</v>
      </c>
      <c r="H248" t="s">
        <v>365</v>
      </c>
      <c r="I248" s="6" t="s">
        <v>801</v>
      </c>
      <c r="J248" s="6" t="s">
        <v>752</v>
      </c>
      <c r="K248" s="6">
        <v>60</v>
      </c>
    </row>
    <row r="249" spans="1:11" x14ac:dyDescent="0.25">
      <c r="A249" s="2">
        <v>3</v>
      </c>
      <c r="B249" t="str">
        <f>IFERROR((_xlfn.XLOOKUP(A249,Diretriz!A:A,Diretriz!B:B)),"")</f>
        <v>Fortalecer a Gestão Pública, por meio da gestão compartilhada nas regiões de saúde, com aprimoramento do planejamento estratégico e dos instrumentos de gestão, garantindo e fortalecendo as instâncias de controle social.</v>
      </c>
      <c r="C249" s="2" t="s">
        <v>13</v>
      </c>
      <c r="D249" t="str">
        <f>IFERROR((_xlfn.XLOOKUP(C249,Objetivo!C:C,Objetivo!D:D)), "")</f>
        <v>Aprimorar o planejamento, o monitoramento e a avaliação da política de saúde, a nível estadual, e apoiar os municípios no âmbito da gestão do SUS.</v>
      </c>
      <c r="E249" s="20" t="s">
        <v>14</v>
      </c>
      <c r="F249" s="19" t="str">
        <f>IFERROR(_xlfn.XLOOKUP(E249,#REF!,#REF!), "")</f>
        <v/>
      </c>
      <c r="G249" s="20" t="s">
        <v>647</v>
      </c>
      <c r="H249" t="s">
        <v>366</v>
      </c>
      <c r="I249" s="6" t="s">
        <v>738</v>
      </c>
      <c r="J249" s="6" t="s">
        <v>751</v>
      </c>
      <c r="K249" s="6">
        <v>9</v>
      </c>
    </row>
    <row r="250" spans="1:11" x14ac:dyDescent="0.25">
      <c r="A250" s="2">
        <v>3</v>
      </c>
      <c r="B250" t="str">
        <f>IFERROR((_xlfn.XLOOKUP(A250,Diretriz!A:A,Diretriz!B:B)),"")</f>
        <v>Fortalecer a Gestão Pública, por meio da gestão compartilhada nas regiões de saúde, com aprimoramento do planejamento estratégico e dos instrumentos de gestão, garantindo e fortalecendo as instâncias de controle social.</v>
      </c>
      <c r="C250" s="2" t="s">
        <v>13</v>
      </c>
      <c r="D250" t="str">
        <f>IFERROR((_xlfn.XLOOKUP(C250,Objetivo!C:C,Objetivo!D:D)), "")</f>
        <v>Aprimorar o planejamento, o monitoramento e a avaliação da política de saúde, a nível estadual, e apoiar os municípios no âmbito da gestão do SUS.</v>
      </c>
      <c r="E250" s="20" t="s">
        <v>14</v>
      </c>
      <c r="F250" s="19" t="str">
        <f>IFERROR(_xlfn.XLOOKUP(E250,#REF!,#REF!), "")</f>
        <v/>
      </c>
      <c r="G250" s="20" t="s">
        <v>648</v>
      </c>
      <c r="H250" t="s">
        <v>367</v>
      </c>
      <c r="I250" s="6" t="s">
        <v>738</v>
      </c>
      <c r="J250" s="6" t="s">
        <v>751</v>
      </c>
      <c r="K250" s="6">
        <v>9</v>
      </c>
    </row>
    <row r="251" spans="1:11" x14ac:dyDescent="0.25">
      <c r="A251" s="2">
        <v>3</v>
      </c>
      <c r="B251" t="str">
        <f>IFERROR((_xlfn.XLOOKUP(A251,Diretriz!A:A,Diretriz!B:B)),"")</f>
        <v>Fortalecer a Gestão Pública, por meio da gestão compartilhada nas regiões de saúde, com aprimoramento do planejamento estratégico e dos instrumentos de gestão, garantindo e fortalecendo as instâncias de controle social.</v>
      </c>
      <c r="C251" s="2" t="s">
        <v>13</v>
      </c>
      <c r="D251" t="str">
        <f>IFERROR((_xlfn.XLOOKUP(C251,Objetivo!C:C,Objetivo!D:D)), "")</f>
        <v>Aprimorar o planejamento, o monitoramento e a avaliação da política de saúde, a nível estadual, e apoiar os municípios no âmbito da gestão do SUS.</v>
      </c>
      <c r="E251" s="20" t="s">
        <v>14</v>
      </c>
      <c r="F251" s="19" t="str">
        <f>IFERROR(_xlfn.XLOOKUP(E251,#REF!,#REF!), "")</f>
        <v/>
      </c>
      <c r="G251" s="20" t="s">
        <v>649</v>
      </c>
      <c r="H251" t="s">
        <v>368</v>
      </c>
      <c r="I251" s="6" t="s">
        <v>738</v>
      </c>
      <c r="J251" s="6" t="s">
        <v>751</v>
      </c>
      <c r="K251" s="6">
        <v>2</v>
      </c>
    </row>
    <row r="252" spans="1:11" x14ac:dyDescent="0.25">
      <c r="A252" s="2">
        <v>3</v>
      </c>
      <c r="B252" t="str">
        <f>IFERROR((_xlfn.XLOOKUP(A252,Diretriz!A:A,Diretriz!B:B)),"")</f>
        <v>Fortalecer a Gestão Pública, por meio da gestão compartilhada nas regiões de saúde, com aprimoramento do planejamento estratégico e dos instrumentos de gestão, garantindo e fortalecendo as instâncias de controle social.</v>
      </c>
      <c r="C252" s="2" t="s">
        <v>13</v>
      </c>
      <c r="D252" t="str">
        <f>IFERROR((_xlfn.XLOOKUP(C252,Objetivo!C:C,Objetivo!D:D)), "")</f>
        <v>Aprimorar o planejamento, o monitoramento e a avaliação da política de saúde, a nível estadual, e apoiar os municípios no âmbito da gestão do SUS.</v>
      </c>
      <c r="E252" s="20" t="s">
        <v>14</v>
      </c>
      <c r="F252" s="19" t="str">
        <f>IFERROR(_xlfn.XLOOKUP(E252,#REF!,#REF!), "")</f>
        <v/>
      </c>
      <c r="G252" s="20" t="s">
        <v>650</v>
      </c>
      <c r="H252" t="s">
        <v>369</v>
      </c>
      <c r="I252" s="6" t="s">
        <v>738</v>
      </c>
      <c r="J252" s="6" t="s">
        <v>751</v>
      </c>
      <c r="K252" s="6">
        <v>1</v>
      </c>
    </row>
    <row r="253" spans="1:11" x14ac:dyDescent="0.25">
      <c r="A253" s="2">
        <v>3</v>
      </c>
      <c r="B253" t="str">
        <f>IFERROR((_xlfn.XLOOKUP(A253,Diretriz!A:A,Diretriz!B:B)),"")</f>
        <v>Fortalecer a Gestão Pública, por meio da gestão compartilhada nas regiões de saúde, com aprimoramento do planejamento estratégico e dos instrumentos de gestão, garantindo e fortalecendo as instâncias de controle social.</v>
      </c>
      <c r="C253" s="2" t="s">
        <v>13</v>
      </c>
      <c r="D253" t="str">
        <f>IFERROR((_xlfn.XLOOKUP(C253,Objetivo!C:C,Objetivo!D:D)), "")</f>
        <v>Aprimorar o planejamento, o monitoramento e a avaliação da política de saúde, a nível estadual, e apoiar os municípios no âmbito da gestão do SUS.</v>
      </c>
      <c r="E253" s="20" t="s">
        <v>14</v>
      </c>
      <c r="F253" s="19" t="str">
        <f>IFERROR(_xlfn.XLOOKUP(E253,#REF!,#REF!), "")</f>
        <v/>
      </c>
      <c r="G253" s="20" t="s">
        <v>651</v>
      </c>
      <c r="H253" t="s">
        <v>370</v>
      </c>
      <c r="I253" s="6" t="s">
        <v>738</v>
      </c>
      <c r="J253" s="6" t="s">
        <v>751</v>
      </c>
      <c r="K253" s="6">
        <v>1</v>
      </c>
    </row>
    <row r="254" spans="1:11" x14ac:dyDescent="0.25">
      <c r="A254" s="2">
        <v>3</v>
      </c>
      <c r="B254" t="str">
        <f>IFERROR((_xlfn.XLOOKUP(A254,Diretriz!A:A,Diretriz!B:B)),"")</f>
        <v>Fortalecer a Gestão Pública, por meio da gestão compartilhada nas regiões de saúde, com aprimoramento do planejamento estratégico e dos instrumentos de gestão, garantindo e fortalecendo as instâncias de controle social.</v>
      </c>
      <c r="C254" s="2" t="s">
        <v>13</v>
      </c>
      <c r="D254" t="str">
        <f>IFERROR((_xlfn.XLOOKUP(C254,Objetivo!C:C,Objetivo!D:D)), "")</f>
        <v>Aprimorar o planejamento, o monitoramento e a avaliação da política de saúde, a nível estadual, e apoiar os municípios no âmbito da gestão do SUS.</v>
      </c>
      <c r="E254" s="20" t="s">
        <v>19</v>
      </c>
      <c r="F254" s="19" t="str">
        <f>IFERROR(_xlfn.XLOOKUP(E254,#REF!,#REF!), "")</f>
        <v/>
      </c>
      <c r="G254" s="20" t="s">
        <v>652</v>
      </c>
      <c r="H254" t="s">
        <v>371</v>
      </c>
      <c r="I254" s="6" t="s">
        <v>738</v>
      </c>
      <c r="J254" s="6" t="s">
        <v>751</v>
      </c>
      <c r="K254" s="6">
        <v>8</v>
      </c>
    </row>
    <row r="255" spans="1:11" x14ac:dyDescent="0.25">
      <c r="A255" s="2">
        <v>3</v>
      </c>
      <c r="B255" t="str">
        <f>IFERROR((_xlfn.XLOOKUP(A255,Diretriz!A:A,Diretriz!B:B)),"")</f>
        <v>Fortalecer a Gestão Pública, por meio da gestão compartilhada nas regiões de saúde, com aprimoramento do planejamento estratégico e dos instrumentos de gestão, garantindo e fortalecendo as instâncias de controle social.</v>
      </c>
      <c r="C255" s="2" t="s">
        <v>13</v>
      </c>
      <c r="D255" t="str">
        <f>IFERROR((_xlfn.XLOOKUP(C255,Objetivo!C:C,Objetivo!D:D)), "")</f>
        <v>Aprimorar o planejamento, o monitoramento e a avaliação da política de saúde, a nível estadual, e apoiar os municípios no âmbito da gestão do SUS.</v>
      </c>
      <c r="E255" s="20" t="s">
        <v>20</v>
      </c>
      <c r="F255" s="19" t="str">
        <f>IFERROR(_xlfn.XLOOKUP(E255,#REF!,#REF!), "")</f>
        <v/>
      </c>
      <c r="G255" s="20" t="s">
        <v>653</v>
      </c>
      <c r="H255" t="s">
        <v>372</v>
      </c>
      <c r="I255" s="6" t="s">
        <v>802</v>
      </c>
      <c r="J255" s="6" t="s">
        <v>751</v>
      </c>
      <c r="K255" s="6">
        <v>50</v>
      </c>
    </row>
    <row r="256" spans="1:11" x14ac:dyDescent="0.25">
      <c r="A256" s="2">
        <v>3</v>
      </c>
      <c r="B256" t="str">
        <f>IFERROR((_xlfn.XLOOKUP(A256,Diretriz!A:A,Diretriz!B:B)),"")</f>
        <v>Fortalecer a Gestão Pública, por meio da gestão compartilhada nas regiões de saúde, com aprimoramento do planejamento estratégico e dos instrumentos de gestão, garantindo e fortalecendo as instâncias de controle social.</v>
      </c>
      <c r="C256" s="2" t="s">
        <v>13</v>
      </c>
      <c r="D256" t="str">
        <f>IFERROR((_xlfn.XLOOKUP(C256,Objetivo!C:C,Objetivo!D:D)), "")</f>
        <v>Aprimorar o planejamento, o monitoramento e a avaliação da política de saúde, a nível estadual, e apoiar os municípios no âmbito da gestão do SUS.</v>
      </c>
      <c r="E256" s="20" t="s">
        <v>20</v>
      </c>
      <c r="F256" s="19" t="str">
        <f>IFERROR(_xlfn.XLOOKUP(E256,#REF!,#REF!), "")</f>
        <v/>
      </c>
      <c r="G256" s="20" t="s">
        <v>654</v>
      </c>
      <c r="H256" t="s">
        <v>373</v>
      </c>
      <c r="I256" s="6" t="s">
        <v>802</v>
      </c>
      <c r="J256" s="6" t="s">
        <v>751</v>
      </c>
      <c r="K256" s="6">
        <v>655</v>
      </c>
    </row>
    <row r="257" spans="1:11" x14ac:dyDescent="0.25">
      <c r="A257" s="2">
        <v>3</v>
      </c>
      <c r="B257" t="str">
        <f>IFERROR((_xlfn.XLOOKUP(A257,Diretriz!A:A,Diretriz!B:B)),"")</f>
        <v>Fortalecer a Gestão Pública, por meio da gestão compartilhada nas regiões de saúde, com aprimoramento do planejamento estratégico e dos instrumentos de gestão, garantindo e fortalecendo as instâncias de controle social.</v>
      </c>
      <c r="C257" s="2" t="s">
        <v>13</v>
      </c>
      <c r="D257" t="str">
        <f>IFERROR((_xlfn.XLOOKUP(C257,Objetivo!C:C,Objetivo!D:D)), "")</f>
        <v>Aprimorar o planejamento, o monitoramento e a avaliação da política de saúde, a nível estadual, e apoiar os municípios no âmbito da gestão do SUS.</v>
      </c>
      <c r="E257" s="20" t="s">
        <v>20</v>
      </c>
      <c r="F257" s="19" t="str">
        <f>IFERROR(_xlfn.XLOOKUP(E257,#REF!,#REF!), "")</f>
        <v/>
      </c>
      <c r="G257" s="20" t="s">
        <v>655</v>
      </c>
      <c r="H257" t="s">
        <v>374</v>
      </c>
      <c r="I257" s="6" t="s">
        <v>802</v>
      </c>
      <c r="J257" s="6" t="s">
        <v>751</v>
      </c>
      <c r="K257" s="6">
        <v>8</v>
      </c>
    </row>
    <row r="258" spans="1:11" x14ac:dyDescent="0.25">
      <c r="A258" s="2">
        <v>3</v>
      </c>
      <c r="B258" t="str">
        <f>IFERROR((_xlfn.XLOOKUP(A258,Diretriz!A:A,Diretriz!B:B)),"")</f>
        <v>Fortalecer a Gestão Pública, por meio da gestão compartilhada nas regiões de saúde, com aprimoramento do planejamento estratégico e dos instrumentos de gestão, garantindo e fortalecendo as instâncias de controle social.</v>
      </c>
      <c r="C258" s="2" t="s">
        <v>13</v>
      </c>
      <c r="D258" t="str">
        <f>IFERROR((_xlfn.XLOOKUP(C258,Objetivo!C:C,Objetivo!D:D)), "")</f>
        <v>Aprimorar o planejamento, o monitoramento e a avaliação da política de saúde, a nível estadual, e apoiar os municípios no âmbito da gestão do SUS.</v>
      </c>
      <c r="E258" s="20" t="s">
        <v>20</v>
      </c>
      <c r="F258" s="19" t="str">
        <f>IFERROR(_xlfn.XLOOKUP(E258,#REF!,#REF!), "")</f>
        <v/>
      </c>
      <c r="G258" s="20" t="s">
        <v>656</v>
      </c>
      <c r="H258" t="s">
        <v>375</v>
      </c>
      <c r="I258" s="6" t="s">
        <v>803</v>
      </c>
      <c r="J258" s="6" t="s">
        <v>751</v>
      </c>
      <c r="K258" s="6">
        <v>4</v>
      </c>
    </row>
    <row r="259" spans="1:11" x14ac:dyDescent="0.25">
      <c r="A259" s="2">
        <v>3</v>
      </c>
      <c r="B259" t="str">
        <f>IFERROR((_xlfn.XLOOKUP(A259,Diretriz!A:A,Diretriz!B:B)),"")</f>
        <v>Fortalecer a Gestão Pública, por meio da gestão compartilhada nas regiões de saúde, com aprimoramento do planejamento estratégico e dos instrumentos de gestão, garantindo e fortalecendo as instâncias de controle social.</v>
      </c>
      <c r="C259" s="2" t="s">
        <v>13</v>
      </c>
      <c r="D259" t="str">
        <f>IFERROR((_xlfn.XLOOKUP(C259,Objetivo!C:C,Objetivo!D:D)), "")</f>
        <v>Aprimorar o planejamento, o monitoramento e a avaliação da política de saúde, a nível estadual, e apoiar os municípios no âmbito da gestão do SUS.</v>
      </c>
      <c r="E259" s="20" t="s">
        <v>20</v>
      </c>
      <c r="F259" s="19" t="str">
        <f>IFERROR(_xlfn.XLOOKUP(E259,#REF!,#REF!), "")</f>
        <v/>
      </c>
      <c r="G259" s="20" t="s">
        <v>657</v>
      </c>
      <c r="H259" t="s">
        <v>376</v>
      </c>
      <c r="I259" s="6" t="s">
        <v>802</v>
      </c>
      <c r="J259" s="6" t="s">
        <v>751</v>
      </c>
      <c r="K259" s="6">
        <v>13</v>
      </c>
    </row>
    <row r="260" spans="1:11" x14ac:dyDescent="0.25">
      <c r="A260" s="2">
        <v>3</v>
      </c>
      <c r="B260" t="str">
        <f>IFERROR((_xlfn.XLOOKUP(A260,Diretriz!A:A,Diretriz!B:B)),"")</f>
        <v>Fortalecer a Gestão Pública, por meio da gestão compartilhada nas regiões de saúde, com aprimoramento do planejamento estratégico e dos instrumentos de gestão, garantindo e fortalecendo as instâncias de controle social.</v>
      </c>
      <c r="C260" s="2" t="s">
        <v>13</v>
      </c>
      <c r="D260" t="str">
        <f>IFERROR((_xlfn.XLOOKUP(C260,Objetivo!C:C,Objetivo!D:D)), "")</f>
        <v>Aprimorar o planejamento, o monitoramento e a avaliação da política de saúde, a nível estadual, e apoiar os municípios no âmbito da gestão do SUS.</v>
      </c>
      <c r="E260" s="20" t="s">
        <v>21</v>
      </c>
      <c r="F260" s="19" t="str">
        <f>IFERROR(_xlfn.XLOOKUP(E260,#REF!,#REF!), "")</f>
        <v/>
      </c>
      <c r="G260" s="20" t="s">
        <v>658</v>
      </c>
      <c r="H260" t="s">
        <v>377</v>
      </c>
      <c r="I260" s="6" t="s">
        <v>804</v>
      </c>
      <c r="J260" s="6" t="s">
        <v>751</v>
      </c>
      <c r="K260" s="6">
        <v>33</v>
      </c>
    </row>
    <row r="261" spans="1:11" x14ac:dyDescent="0.25">
      <c r="A261" s="2">
        <v>3</v>
      </c>
      <c r="B261" t="str">
        <f>IFERROR((_xlfn.XLOOKUP(A261,Diretriz!A:A,Diretriz!B:B)),"")</f>
        <v>Fortalecer a Gestão Pública, por meio da gestão compartilhada nas regiões de saúde, com aprimoramento do planejamento estratégico e dos instrumentos de gestão, garantindo e fortalecendo as instâncias de controle social.</v>
      </c>
      <c r="C261" s="2" t="s">
        <v>13</v>
      </c>
      <c r="D261" t="str">
        <f>IFERROR((_xlfn.XLOOKUP(C261,Objetivo!C:C,Objetivo!D:D)), "")</f>
        <v>Aprimorar o planejamento, o monitoramento e a avaliação da política de saúde, a nível estadual, e apoiar os municípios no âmbito da gestão do SUS.</v>
      </c>
      <c r="E261" s="20" t="s">
        <v>21</v>
      </c>
      <c r="F261" s="19" t="str">
        <f>IFERROR(_xlfn.XLOOKUP(E261,#REF!,#REF!), "")</f>
        <v/>
      </c>
      <c r="G261" s="20" t="s">
        <v>659</v>
      </c>
      <c r="H261" t="s">
        <v>378</v>
      </c>
      <c r="I261" s="6" t="s">
        <v>805</v>
      </c>
      <c r="J261" s="6" t="s">
        <v>751</v>
      </c>
      <c r="K261" s="6">
        <v>58</v>
      </c>
    </row>
    <row r="262" spans="1:11" x14ac:dyDescent="0.25">
      <c r="A262" s="2">
        <v>3</v>
      </c>
      <c r="B262" t="str">
        <f>IFERROR((_xlfn.XLOOKUP(A262,Diretriz!A:A,Diretriz!B:B)),"")</f>
        <v>Fortalecer a Gestão Pública, por meio da gestão compartilhada nas regiões de saúde, com aprimoramento do planejamento estratégico e dos instrumentos de gestão, garantindo e fortalecendo as instâncias de controle social.</v>
      </c>
      <c r="C262" s="2" t="s">
        <v>13</v>
      </c>
      <c r="D262" t="str">
        <f>IFERROR((_xlfn.XLOOKUP(C262,Objetivo!C:C,Objetivo!D:D)), "")</f>
        <v>Aprimorar o planejamento, o monitoramento e a avaliação da política de saúde, a nível estadual, e apoiar os municípios no âmbito da gestão do SUS.</v>
      </c>
      <c r="E262" s="20" t="s">
        <v>21</v>
      </c>
      <c r="F262" s="19" t="str">
        <f>IFERROR(_xlfn.XLOOKUP(E262,#REF!,#REF!), "")</f>
        <v/>
      </c>
      <c r="G262" s="20" t="s">
        <v>660</v>
      </c>
      <c r="H262" t="s">
        <v>379</v>
      </c>
      <c r="I262" s="6" t="s">
        <v>806</v>
      </c>
      <c r="J262" s="6" t="s">
        <v>751</v>
      </c>
      <c r="K262" s="6">
        <v>86</v>
      </c>
    </row>
    <row r="263" spans="1:11" x14ac:dyDescent="0.25">
      <c r="A263" s="2">
        <v>3</v>
      </c>
      <c r="B263" t="str">
        <f>IFERROR((_xlfn.XLOOKUP(A263,Diretriz!A:A,Diretriz!B:B)),"")</f>
        <v>Fortalecer a Gestão Pública, por meio da gestão compartilhada nas regiões de saúde, com aprimoramento do planejamento estratégico e dos instrumentos de gestão, garantindo e fortalecendo as instâncias de controle social.</v>
      </c>
      <c r="C263" s="2" t="s">
        <v>13</v>
      </c>
      <c r="D263" t="str">
        <f>IFERROR((_xlfn.XLOOKUP(C263,Objetivo!C:C,Objetivo!D:D)), "")</f>
        <v>Aprimorar o planejamento, o monitoramento e a avaliação da política de saúde, a nível estadual, e apoiar os municípios no âmbito da gestão do SUS.</v>
      </c>
      <c r="E263" s="20" t="s">
        <v>21</v>
      </c>
      <c r="F263" s="19" t="str">
        <f>IFERROR(_xlfn.XLOOKUP(E263,#REF!,#REF!), "")</f>
        <v/>
      </c>
      <c r="G263" s="20" t="s">
        <v>661</v>
      </c>
      <c r="H263" t="s">
        <v>380</v>
      </c>
      <c r="I263" s="6" t="s">
        <v>807</v>
      </c>
      <c r="J263" s="6" t="s">
        <v>751</v>
      </c>
      <c r="K263" s="6">
        <v>107</v>
      </c>
    </row>
    <row r="264" spans="1:11" x14ac:dyDescent="0.25">
      <c r="A264" s="2">
        <v>3</v>
      </c>
      <c r="B264" t="str">
        <f>IFERROR((_xlfn.XLOOKUP(A264,Diretriz!A:A,Diretriz!B:B)),"")</f>
        <v>Fortalecer a Gestão Pública, por meio da gestão compartilhada nas regiões de saúde, com aprimoramento do planejamento estratégico e dos instrumentos de gestão, garantindo e fortalecendo as instâncias de controle social.</v>
      </c>
      <c r="C264" s="2" t="s">
        <v>13</v>
      </c>
      <c r="D264" t="str">
        <f>IFERROR((_xlfn.XLOOKUP(C264,Objetivo!C:C,Objetivo!D:D)), "")</f>
        <v>Aprimorar o planejamento, o monitoramento e a avaliação da política de saúde, a nível estadual, e apoiar os municípios no âmbito da gestão do SUS.</v>
      </c>
      <c r="E264" s="20" t="s">
        <v>21</v>
      </c>
      <c r="F264" s="19" t="str">
        <f>IFERROR(_xlfn.XLOOKUP(E264,#REF!,#REF!), "")</f>
        <v/>
      </c>
      <c r="G264" s="20" t="s">
        <v>662</v>
      </c>
      <c r="H264" t="s">
        <v>381</v>
      </c>
      <c r="I264" s="6" t="s">
        <v>808</v>
      </c>
      <c r="J264" s="6" t="s">
        <v>751</v>
      </c>
      <c r="K264" s="6">
        <v>15</v>
      </c>
    </row>
    <row r="265" spans="1:11" x14ac:dyDescent="0.25">
      <c r="A265" s="2">
        <v>3</v>
      </c>
      <c r="B265" t="str">
        <f>IFERROR((_xlfn.XLOOKUP(A265,Diretriz!A:A,Diretriz!B:B)),"")</f>
        <v>Fortalecer a Gestão Pública, por meio da gestão compartilhada nas regiões de saúde, com aprimoramento do planejamento estratégico e dos instrumentos de gestão, garantindo e fortalecendo as instâncias de controle social.</v>
      </c>
      <c r="C265" s="2" t="s">
        <v>13</v>
      </c>
      <c r="D265" t="str">
        <f>IFERROR((_xlfn.XLOOKUP(C265,Objetivo!C:C,Objetivo!D:D)), "")</f>
        <v>Aprimorar o planejamento, o monitoramento e a avaliação da política de saúde, a nível estadual, e apoiar os municípios no âmbito da gestão do SUS.</v>
      </c>
      <c r="E265" s="20" t="s">
        <v>22</v>
      </c>
      <c r="F265" s="19" t="str">
        <f>IFERROR(_xlfn.XLOOKUP(E265,#REF!,#REF!), "")</f>
        <v/>
      </c>
      <c r="G265" s="20" t="s">
        <v>663</v>
      </c>
      <c r="H265" t="s">
        <v>382</v>
      </c>
      <c r="I265" s="6" t="s">
        <v>718</v>
      </c>
      <c r="J265" s="6" t="s">
        <v>751</v>
      </c>
      <c r="K265" s="6">
        <v>8</v>
      </c>
    </row>
    <row r="266" spans="1:11" x14ac:dyDescent="0.25">
      <c r="A266" s="2">
        <v>3</v>
      </c>
      <c r="B266" t="str">
        <f>IFERROR((_xlfn.XLOOKUP(A266,Diretriz!A:A,Diretriz!B:B)),"")</f>
        <v>Fortalecer a Gestão Pública, por meio da gestão compartilhada nas regiões de saúde, com aprimoramento do planejamento estratégico e dos instrumentos de gestão, garantindo e fortalecendo as instâncias de controle social.</v>
      </c>
      <c r="C266" s="2" t="s">
        <v>13</v>
      </c>
      <c r="D266" t="str">
        <f>IFERROR((_xlfn.XLOOKUP(C266,Objetivo!C:C,Objetivo!D:D)), "")</f>
        <v>Aprimorar o planejamento, o monitoramento e a avaliação da política de saúde, a nível estadual, e apoiar os municípios no âmbito da gestão do SUS.</v>
      </c>
      <c r="E266" s="20" t="s">
        <v>22</v>
      </c>
      <c r="F266" s="19" t="str">
        <f>IFERROR(_xlfn.XLOOKUP(E266,#REF!,#REF!), "")</f>
        <v/>
      </c>
      <c r="G266" s="20" t="s">
        <v>664</v>
      </c>
      <c r="H266" t="s">
        <v>383</v>
      </c>
      <c r="I266" s="6" t="s">
        <v>809</v>
      </c>
      <c r="J266" s="6" t="s">
        <v>751</v>
      </c>
      <c r="K266" s="6">
        <v>4</v>
      </c>
    </row>
    <row r="267" spans="1:11" x14ac:dyDescent="0.25">
      <c r="A267" s="2">
        <v>3</v>
      </c>
      <c r="B267" t="str">
        <f>IFERROR((_xlfn.XLOOKUP(A267,Diretriz!A:A,Diretriz!B:B)),"")</f>
        <v>Fortalecer a Gestão Pública, por meio da gestão compartilhada nas regiões de saúde, com aprimoramento do planejamento estratégico e dos instrumentos de gestão, garantindo e fortalecendo as instâncias de controle social.</v>
      </c>
      <c r="C267" s="2" t="s">
        <v>13</v>
      </c>
      <c r="D267" t="str">
        <f>IFERROR((_xlfn.XLOOKUP(C267,Objetivo!C:C,Objetivo!D:D)), "")</f>
        <v>Aprimorar o planejamento, o monitoramento e a avaliação da política de saúde, a nível estadual, e apoiar os municípios no âmbito da gestão do SUS.</v>
      </c>
      <c r="E267" s="20" t="s">
        <v>22</v>
      </c>
      <c r="F267" s="19" t="str">
        <f>IFERROR(_xlfn.XLOOKUP(E267,#REF!,#REF!), "")</f>
        <v/>
      </c>
      <c r="G267" s="20" t="s">
        <v>665</v>
      </c>
      <c r="H267" t="s">
        <v>384</v>
      </c>
      <c r="I267" s="6" t="s">
        <v>810</v>
      </c>
      <c r="J267" s="6" t="s">
        <v>751</v>
      </c>
      <c r="K267" s="6">
        <v>2</v>
      </c>
    </row>
    <row r="268" spans="1:11" x14ac:dyDescent="0.25">
      <c r="A268" s="2">
        <v>3</v>
      </c>
      <c r="B268" t="str">
        <f>IFERROR((_xlfn.XLOOKUP(A268,Diretriz!A:A,Diretriz!B:B)),"")</f>
        <v>Fortalecer a Gestão Pública, por meio da gestão compartilhada nas regiões de saúde, com aprimoramento do planejamento estratégico e dos instrumentos de gestão, garantindo e fortalecendo as instâncias de controle social.</v>
      </c>
      <c r="C268" s="2" t="s">
        <v>13</v>
      </c>
      <c r="D268" t="str">
        <f>IFERROR((_xlfn.XLOOKUP(C268,Objetivo!C:C,Objetivo!D:D)), "")</f>
        <v>Aprimorar o planejamento, o monitoramento e a avaliação da política de saúde, a nível estadual, e apoiar os municípios no âmbito da gestão do SUS.</v>
      </c>
      <c r="E268" s="20" t="s">
        <v>23</v>
      </c>
      <c r="F268" s="19" t="str">
        <f>IFERROR(_xlfn.XLOOKUP(E268,#REF!,#REF!), "")</f>
        <v/>
      </c>
      <c r="G268" s="20" t="s">
        <v>666</v>
      </c>
      <c r="H268" t="s">
        <v>385</v>
      </c>
      <c r="I268" s="6" t="s">
        <v>811</v>
      </c>
      <c r="J268" s="6" t="s">
        <v>751</v>
      </c>
      <c r="K268" s="6">
        <v>8</v>
      </c>
    </row>
    <row r="269" spans="1:11" x14ac:dyDescent="0.25">
      <c r="A269" s="2">
        <v>3</v>
      </c>
      <c r="B269" t="str">
        <f>IFERROR((_xlfn.XLOOKUP(A269,Diretriz!A:A,Diretriz!B:B)),"")</f>
        <v>Fortalecer a Gestão Pública, por meio da gestão compartilhada nas regiões de saúde, com aprimoramento do planejamento estratégico e dos instrumentos de gestão, garantindo e fortalecendo as instâncias de controle social.</v>
      </c>
      <c r="C269" s="2" t="s">
        <v>13</v>
      </c>
      <c r="D269" t="str">
        <f>IFERROR((_xlfn.XLOOKUP(C269,Objetivo!C:C,Objetivo!D:D)), "")</f>
        <v>Aprimorar o planejamento, o monitoramento e a avaliação da política de saúde, a nível estadual, e apoiar os municípios no âmbito da gestão do SUS.</v>
      </c>
      <c r="E269" s="20" t="s">
        <v>23</v>
      </c>
      <c r="F269" s="19" t="str">
        <f>IFERROR(_xlfn.XLOOKUP(E269,#REF!,#REF!), "")</f>
        <v/>
      </c>
      <c r="G269" s="20" t="s">
        <v>667</v>
      </c>
      <c r="H269" t="s">
        <v>386</v>
      </c>
      <c r="I269" s="6" t="s">
        <v>756</v>
      </c>
      <c r="J269" s="6" t="s">
        <v>751</v>
      </c>
      <c r="K269" s="6">
        <v>7</v>
      </c>
    </row>
    <row r="270" spans="1:11" x14ac:dyDescent="0.25">
      <c r="A270" s="2">
        <v>3</v>
      </c>
      <c r="B270" t="str">
        <f>IFERROR((_xlfn.XLOOKUP(A270,Diretriz!A:A,Diretriz!B:B)),"")</f>
        <v>Fortalecer a Gestão Pública, por meio da gestão compartilhada nas regiões de saúde, com aprimoramento do planejamento estratégico e dos instrumentos de gestão, garantindo e fortalecendo as instâncias de controle social.</v>
      </c>
      <c r="C270" s="2" t="s">
        <v>13</v>
      </c>
      <c r="D270" t="str">
        <f>IFERROR((_xlfn.XLOOKUP(C270,Objetivo!C:C,Objetivo!D:D)), "")</f>
        <v>Aprimorar o planejamento, o monitoramento e a avaliação da política de saúde, a nível estadual, e apoiar os municípios no âmbito da gestão do SUS.</v>
      </c>
      <c r="E270" s="20" t="s">
        <v>23</v>
      </c>
      <c r="F270" s="19" t="str">
        <f>IFERROR(_xlfn.XLOOKUP(E270,#REF!,#REF!), "")</f>
        <v/>
      </c>
      <c r="G270" s="20" t="s">
        <v>668</v>
      </c>
      <c r="H270" t="s">
        <v>387</v>
      </c>
      <c r="I270" s="6" t="s">
        <v>812</v>
      </c>
      <c r="J270" s="6" t="s">
        <v>751</v>
      </c>
      <c r="K270" s="6">
        <v>4</v>
      </c>
    </row>
    <row r="271" spans="1:11" x14ac:dyDescent="0.25">
      <c r="A271" s="2">
        <v>3</v>
      </c>
      <c r="B271" t="str">
        <f>IFERROR((_xlfn.XLOOKUP(A271,Diretriz!A:A,Diretriz!B:B)),"")</f>
        <v>Fortalecer a Gestão Pública, por meio da gestão compartilhada nas regiões de saúde, com aprimoramento do planejamento estratégico e dos instrumentos de gestão, garantindo e fortalecendo as instâncias de controle social.</v>
      </c>
      <c r="C271" s="2" t="s">
        <v>13</v>
      </c>
      <c r="D271" t="str">
        <f>IFERROR((_xlfn.XLOOKUP(C271,Objetivo!C:C,Objetivo!D:D)), "")</f>
        <v>Aprimorar o planejamento, o monitoramento e a avaliação da política de saúde, a nível estadual, e apoiar os municípios no âmbito da gestão do SUS.</v>
      </c>
      <c r="E271" s="20" t="s">
        <v>23</v>
      </c>
      <c r="F271" s="19" t="str">
        <f>IFERROR(_xlfn.XLOOKUP(E271,#REF!,#REF!), "")</f>
        <v/>
      </c>
      <c r="G271" s="20" t="s">
        <v>669</v>
      </c>
      <c r="H271" t="s">
        <v>388</v>
      </c>
      <c r="I271" s="6" t="s">
        <v>813</v>
      </c>
      <c r="J271" s="6" t="s">
        <v>751</v>
      </c>
      <c r="K271" s="6">
        <v>1</v>
      </c>
    </row>
    <row r="272" spans="1:11" x14ac:dyDescent="0.25">
      <c r="A272" s="2">
        <v>3</v>
      </c>
      <c r="B272" t="str">
        <f>IFERROR((_xlfn.XLOOKUP(A272,Diretriz!A:A,Diretriz!B:B)),"")</f>
        <v>Fortalecer a Gestão Pública, por meio da gestão compartilhada nas regiões de saúde, com aprimoramento do planejamento estratégico e dos instrumentos de gestão, garantindo e fortalecendo as instâncias de controle social.</v>
      </c>
      <c r="C272" s="2" t="s">
        <v>13</v>
      </c>
      <c r="D272" t="str">
        <f>IFERROR((_xlfn.XLOOKUP(C272,Objetivo!C:C,Objetivo!D:D)), "")</f>
        <v>Aprimorar o planejamento, o monitoramento e a avaliação da política de saúde, a nível estadual, e apoiar os municípios no âmbito da gestão do SUS.</v>
      </c>
      <c r="E272" s="20" t="s">
        <v>23</v>
      </c>
      <c r="F272" s="19" t="str">
        <f>IFERROR(_xlfn.XLOOKUP(E272,#REF!,#REF!), "")</f>
        <v/>
      </c>
      <c r="G272" s="20" t="s">
        <v>670</v>
      </c>
      <c r="H272" t="s">
        <v>389</v>
      </c>
      <c r="I272" s="6" t="s">
        <v>814</v>
      </c>
      <c r="J272" s="6" t="s">
        <v>751</v>
      </c>
      <c r="K272" s="6">
        <v>1</v>
      </c>
    </row>
    <row r="273" spans="1:11" x14ac:dyDescent="0.25">
      <c r="A273" s="2">
        <v>3</v>
      </c>
      <c r="B273" t="str">
        <f>IFERROR((_xlfn.XLOOKUP(A273,Diretriz!A:A,Diretriz!B:B)),"")</f>
        <v>Fortalecer a Gestão Pública, por meio da gestão compartilhada nas regiões de saúde, com aprimoramento do planejamento estratégico e dos instrumentos de gestão, garantindo e fortalecendo as instâncias de controle social.</v>
      </c>
      <c r="C273" s="2" t="s">
        <v>15</v>
      </c>
      <c r="D273" t="str">
        <f>IFERROR((_xlfn.XLOOKUP(C273,Objetivo!C:C,Objetivo!D:D)), "")</f>
        <v>Dimensionar, valorizar e qualificar os trabalhadores/as do SUS no Maranhão, a partir da estruturação de uma política da gestão de trabalho e educação na saúde.</v>
      </c>
      <c r="E273" s="20" t="s">
        <v>16</v>
      </c>
      <c r="F273" s="19" t="str">
        <f>IFERROR(_xlfn.XLOOKUP(E273,#REF!,#REF!), "")</f>
        <v/>
      </c>
      <c r="G273" s="20" t="s">
        <v>671</v>
      </c>
      <c r="H273" t="s">
        <v>390</v>
      </c>
      <c r="I273" s="6" t="s">
        <v>815</v>
      </c>
      <c r="J273" s="6" t="s">
        <v>751</v>
      </c>
      <c r="K273" s="6">
        <v>2000</v>
      </c>
    </row>
    <row r="274" spans="1:11" x14ac:dyDescent="0.25">
      <c r="A274" s="2">
        <v>3</v>
      </c>
      <c r="B274" t="str">
        <f>IFERROR((_xlfn.XLOOKUP(A274,Diretriz!A:A,Diretriz!B:B)),"")</f>
        <v>Fortalecer a Gestão Pública, por meio da gestão compartilhada nas regiões de saúde, com aprimoramento do planejamento estratégico e dos instrumentos de gestão, garantindo e fortalecendo as instâncias de controle social.</v>
      </c>
      <c r="C274" s="2" t="s">
        <v>15</v>
      </c>
      <c r="D274" t="str">
        <f>IFERROR((_xlfn.XLOOKUP(C274,Objetivo!C:C,Objetivo!D:D)), "")</f>
        <v>Dimensionar, valorizar e qualificar os trabalhadores/as do SUS no Maranhão, a partir da estruturação de uma política da gestão de trabalho e educação na saúde.</v>
      </c>
      <c r="E274" s="20" t="s">
        <v>16</v>
      </c>
      <c r="F274" s="19" t="str">
        <f>IFERROR(_xlfn.XLOOKUP(E274,#REF!,#REF!), "")</f>
        <v/>
      </c>
      <c r="G274" s="20" t="s">
        <v>672</v>
      </c>
      <c r="H274" t="s">
        <v>391</v>
      </c>
      <c r="I274" s="6" t="s">
        <v>815</v>
      </c>
      <c r="J274" s="6" t="s">
        <v>751</v>
      </c>
      <c r="K274" s="6">
        <v>100</v>
      </c>
    </row>
    <row r="275" spans="1:11" x14ac:dyDescent="0.25">
      <c r="A275" s="2">
        <v>3</v>
      </c>
      <c r="B275" t="str">
        <f>IFERROR((_xlfn.XLOOKUP(A275,Diretriz!A:A,Diretriz!B:B)),"")</f>
        <v>Fortalecer a Gestão Pública, por meio da gestão compartilhada nas regiões de saúde, com aprimoramento do planejamento estratégico e dos instrumentos de gestão, garantindo e fortalecendo as instâncias de controle social.</v>
      </c>
      <c r="C275" s="2" t="s">
        <v>15</v>
      </c>
      <c r="D275" t="str">
        <f>IFERROR((_xlfn.XLOOKUP(C275,Objetivo!C:C,Objetivo!D:D)), "")</f>
        <v>Dimensionar, valorizar e qualificar os trabalhadores/as do SUS no Maranhão, a partir da estruturação de uma política da gestão de trabalho e educação na saúde.</v>
      </c>
      <c r="E275" s="20" t="s">
        <v>16</v>
      </c>
      <c r="F275" s="19" t="str">
        <f>IFERROR(_xlfn.XLOOKUP(E275,#REF!,#REF!), "")</f>
        <v/>
      </c>
      <c r="G275" s="20" t="s">
        <v>673</v>
      </c>
      <c r="H275" t="s">
        <v>392</v>
      </c>
      <c r="I275" s="6" t="s">
        <v>815</v>
      </c>
      <c r="J275" s="6" t="s">
        <v>751</v>
      </c>
      <c r="K275" s="6">
        <v>2000</v>
      </c>
    </row>
    <row r="276" spans="1:11" x14ac:dyDescent="0.25">
      <c r="A276" s="2">
        <v>3</v>
      </c>
      <c r="B276" t="str">
        <f>IFERROR((_xlfn.XLOOKUP(A276,Diretriz!A:A,Diretriz!B:B)),"")</f>
        <v>Fortalecer a Gestão Pública, por meio da gestão compartilhada nas regiões de saúde, com aprimoramento do planejamento estratégico e dos instrumentos de gestão, garantindo e fortalecendo as instâncias de controle social.</v>
      </c>
      <c r="C276" s="2" t="s">
        <v>15</v>
      </c>
      <c r="D276" t="str">
        <f>IFERROR((_xlfn.XLOOKUP(C276,Objetivo!C:C,Objetivo!D:D)), "")</f>
        <v>Dimensionar, valorizar e qualificar os trabalhadores/as do SUS no Maranhão, a partir da estruturação de uma política da gestão de trabalho e educação na saúde.</v>
      </c>
      <c r="E276" s="20" t="s">
        <v>16</v>
      </c>
      <c r="F276" s="19" t="str">
        <f>IFERROR(_xlfn.XLOOKUP(E276,#REF!,#REF!), "")</f>
        <v/>
      </c>
      <c r="G276" s="20" t="s">
        <v>674</v>
      </c>
      <c r="H276" t="s">
        <v>393</v>
      </c>
      <c r="I276" s="6" t="s">
        <v>815</v>
      </c>
      <c r="J276" s="6" t="s">
        <v>751</v>
      </c>
      <c r="K276" s="6">
        <v>150</v>
      </c>
    </row>
    <row r="277" spans="1:11" x14ac:dyDescent="0.25">
      <c r="A277" s="2">
        <v>3</v>
      </c>
      <c r="B277" t="str">
        <f>IFERROR((_xlfn.XLOOKUP(A277,Diretriz!A:A,Diretriz!B:B)),"")</f>
        <v>Fortalecer a Gestão Pública, por meio da gestão compartilhada nas regiões de saúde, com aprimoramento do planejamento estratégico e dos instrumentos de gestão, garantindo e fortalecendo as instâncias de controle social.</v>
      </c>
      <c r="C277" s="2" t="s">
        <v>15</v>
      </c>
      <c r="D277" t="str">
        <f>IFERROR((_xlfn.XLOOKUP(C277,Objetivo!C:C,Objetivo!D:D)), "")</f>
        <v>Dimensionar, valorizar e qualificar os trabalhadores/as do SUS no Maranhão, a partir da estruturação de uma política da gestão de trabalho e educação na saúde.</v>
      </c>
      <c r="E277" s="20" t="s">
        <v>16</v>
      </c>
      <c r="F277" s="19" t="str">
        <f>IFERROR(_xlfn.XLOOKUP(E277,#REF!,#REF!), "")</f>
        <v/>
      </c>
      <c r="G277" s="20" t="s">
        <v>675</v>
      </c>
      <c r="H277" t="s">
        <v>394</v>
      </c>
      <c r="I277" s="6" t="s">
        <v>815</v>
      </c>
      <c r="J277" s="6" t="s">
        <v>751</v>
      </c>
      <c r="K277" s="6">
        <v>200</v>
      </c>
    </row>
    <row r="278" spans="1:11" x14ac:dyDescent="0.25">
      <c r="A278" s="2">
        <v>3</v>
      </c>
      <c r="B278" t="str">
        <f>IFERROR((_xlfn.XLOOKUP(A278,Diretriz!A:A,Diretriz!B:B)),"")</f>
        <v>Fortalecer a Gestão Pública, por meio da gestão compartilhada nas regiões de saúde, com aprimoramento do planejamento estratégico e dos instrumentos de gestão, garantindo e fortalecendo as instâncias de controle social.</v>
      </c>
      <c r="C278" s="2" t="s">
        <v>15</v>
      </c>
      <c r="D278" t="str">
        <f>IFERROR((_xlfn.XLOOKUP(C278,Objetivo!C:C,Objetivo!D:D)), "")</f>
        <v>Dimensionar, valorizar e qualificar os trabalhadores/as do SUS no Maranhão, a partir da estruturação de uma política da gestão de trabalho e educação na saúde.</v>
      </c>
      <c r="E278" s="20" t="s">
        <v>16</v>
      </c>
      <c r="F278" s="19" t="str">
        <f>IFERROR(_xlfn.XLOOKUP(E278,#REF!,#REF!), "")</f>
        <v/>
      </c>
      <c r="G278" s="20" t="s">
        <v>676</v>
      </c>
      <c r="H278" t="s">
        <v>395</v>
      </c>
      <c r="I278" s="6" t="s">
        <v>815</v>
      </c>
      <c r="J278" s="6" t="s">
        <v>751</v>
      </c>
      <c r="K278" s="6">
        <v>30</v>
      </c>
    </row>
    <row r="279" spans="1:11" x14ac:dyDescent="0.25">
      <c r="A279" s="2">
        <v>3</v>
      </c>
      <c r="B279" t="str">
        <f>IFERROR((_xlfn.XLOOKUP(A279,Diretriz!A:A,Diretriz!B:B)),"")</f>
        <v>Fortalecer a Gestão Pública, por meio da gestão compartilhada nas regiões de saúde, com aprimoramento do planejamento estratégico e dos instrumentos de gestão, garantindo e fortalecendo as instâncias de controle social.</v>
      </c>
      <c r="C279" s="2" t="s">
        <v>15</v>
      </c>
      <c r="D279" t="str">
        <f>IFERROR((_xlfn.XLOOKUP(C279,Objetivo!C:C,Objetivo!D:D)), "")</f>
        <v>Dimensionar, valorizar e qualificar os trabalhadores/as do SUS no Maranhão, a partir da estruturação de uma política da gestão de trabalho e educação na saúde.</v>
      </c>
      <c r="E279" s="20" t="s">
        <v>16</v>
      </c>
      <c r="F279" s="19" t="str">
        <f>IFERROR(_xlfn.XLOOKUP(E279,#REF!,#REF!), "")</f>
        <v/>
      </c>
      <c r="G279" s="20" t="s">
        <v>677</v>
      </c>
      <c r="H279" t="s">
        <v>396</v>
      </c>
      <c r="I279" s="6" t="s">
        <v>815</v>
      </c>
      <c r="J279" s="6" t="s">
        <v>751</v>
      </c>
      <c r="K279" s="6">
        <v>40</v>
      </c>
    </row>
    <row r="280" spans="1:11" x14ac:dyDescent="0.25">
      <c r="A280" s="2">
        <v>3</v>
      </c>
      <c r="B280" t="str">
        <f>IFERROR((_xlfn.XLOOKUP(A280,Diretriz!A:A,Diretriz!B:B)),"")</f>
        <v>Fortalecer a Gestão Pública, por meio da gestão compartilhada nas regiões de saúde, com aprimoramento do planejamento estratégico e dos instrumentos de gestão, garantindo e fortalecendo as instâncias de controle social.</v>
      </c>
      <c r="C280" s="2" t="s">
        <v>15</v>
      </c>
      <c r="D280" t="str">
        <f>IFERROR((_xlfn.XLOOKUP(C280,Objetivo!C:C,Objetivo!D:D)), "")</f>
        <v>Dimensionar, valorizar e qualificar os trabalhadores/as do SUS no Maranhão, a partir da estruturação de uma política da gestão de trabalho e educação na saúde.</v>
      </c>
      <c r="E280" s="20" t="s">
        <v>16</v>
      </c>
      <c r="F280" s="19" t="str">
        <f>IFERROR(_xlfn.XLOOKUP(E280,#REF!,#REF!), "")</f>
        <v/>
      </c>
      <c r="G280" s="20" t="s">
        <v>678</v>
      </c>
      <c r="H280" t="s">
        <v>397</v>
      </c>
      <c r="I280" s="6" t="s">
        <v>815</v>
      </c>
      <c r="J280" s="6" t="s">
        <v>751</v>
      </c>
      <c r="K280" s="6">
        <v>100</v>
      </c>
    </row>
    <row r="281" spans="1:11" x14ac:dyDescent="0.25">
      <c r="A281" s="2">
        <v>3</v>
      </c>
      <c r="B281" t="str">
        <f>IFERROR((_xlfn.XLOOKUP(A281,Diretriz!A:A,Diretriz!B:B)),"")</f>
        <v>Fortalecer a Gestão Pública, por meio da gestão compartilhada nas regiões de saúde, com aprimoramento do planejamento estratégico e dos instrumentos de gestão, garantindo e fortalecendo as instâncias de controle social.</v>
      </c>
      <c r="C281" s="2" t="s">
        <v>15</v>
      </c>
      <c r="D281" t="str">
        <f>IFERROR((_xlfn.XLOOKUP(C281,Objetivo!C:C,Objetivo!D:D)), "")</f>
        <v>Dimensionar, valorizar e qualificar os trabalhadores/as do SUS no Maranhão, a partir da estruturação de uma política da gestão de trabalho e educação na saúde.</v>
      </c>
      <c r="E281" s="20" t="s">
        <v>16</v>
      </c>
      <c r="F281" s="19" t="str">
        <f>IFERROR(_xlfn.XLOOKUP(E281,#REF!,#REF!), "")</f>
        <v/>
      </c>
      <c r="G281" s="20" t="s">
        <v>679</v>
      </c>
      <c r="H281" t="s">
        <v>398</v>
      </c>
      <c r="I281" s="6" t="s">
        <v>815</v>
      </c>
      <c r="J281" s="6" t="s">
        <v>751</v>
      </c>
      <c r="K281" s="6">
        <v>75</v>
      </c>
    </row>
    <row r="282" spans="1:11" x14ac:dyDescent="0.25">
      <c r="A282" s="2">
        <v>3</v>
      </c>
      <c r="B282" t="str">
        <f>IFERROR((_xlfn.XLOOKUP(A282,Diretriz!A:A,Diretriz!B:B)),"")</f>
        <v>Fortalecer a Gestão Pública, por meio da gestão compartilhada nas regiões de saúde, com aprimoramento do planejamento estratégico e dos instrumentos de gestão, garantindo e fortalecendo as instâncias de controle social.</v>
      </c>
      <c r="C282" s="2" t="s">
        <v>15</v>
      </c>
      <c r="D282" t="str">
        <f>IFERROR((_xlfn.XLOOKUP(C282,Objetivo!C:C,Objetivo!D:D)), "")</f>
        <v>Dimensionar, valorizar e qualificar os trabalhadores/as do SUS no Maranhão, a partir da estruturação de uma política da gestão de trabalho e educação na saúde.</v>
      </c>
      <c r="E282" s="20" t="s">
        <v>16</v>
      </c>
      <c r="F282" s="19" t="str">
        <f>IFERROR(_xlfn.XLOOKUP(E282,#REF!,#REF!), "")</f>
        <v/>
      </c>
      <c r="G282" s="20" t="s">
        <v>680</v>
      </c>
      <c r="H282" t="s">
        <v>399</v>
      </c>
      <c r="I282" s="6" t="s">
        <v>815</v>
      </c>
      <c r="J282" s="6" t="s">
        <v>751</v>
      </c>
      <c r="K282" s="6">
        <v>45</v>
      </c>
    </row>
    <row r="283" spans="1:11" x14ac:dyDescent="0.25">
      <c r="A283" s="2">
        <v>3</v>
      </c>
      <c r="B283" t="str">
        <f>IFERROR((_xlfn.XLOOKUP(A283,Diretriz!A:A,Diretriz!B:B)),"")</f>
        <v>Fortalecer a Gestão Pública, por meio da gestão compartilhada nas regiões de saúde, com aprimoramento do planejamento estratégico e dos instrumentos de gestão, garantindo e fortalecendo as instâncias de controle social.</v>
      </c>
      <c r="C283" s="2" t="s">
        <v>15</v>
      </c>
      <c r="D283" t="str">
        <f>IFERROR((_xlfn.XLOOKUP(C283,Objetivo!C:C,Objetivo!D:D)), "")</f>
        <v>Dimensionar, valorizar e qualificar os trabalhadores/as do SUS no Maranhão, a partir da estruturação de uma política da gestão de trabalho e educação na saúde.</v>
      </c>
      <c r="E283" s="20" t="s">
        <v>16</v>
      </c>
      <c r="F283" s="19" t="str">
        <f>IFERROR(_xlfn.XLOOKUP(E283,#REF!,#REF!), "")</f>
        <v/>
      </c>
      <c r="G283" s="20" t="s">
        <v>681</v>
      </c>
      <c r="H283" t="s">
        <v>400</v>
      </c>
      <c r="I283" s="6" t="s">
        <v>816</v>
      </c>
      <c r="J283" s="6" t="s">
        <v>751</v>
      </c>
      <c r="K283" s="6">
        <v>70</v>
      </c>
    </row>
    <row r="284" spans="1:11" x14ac:dyDescent="0.25">
      <c r="A284" s="2">
        <v>3</v>
      </c>
      <c r="B284" t="str">
        <f>IFERROR((_xlfn.XLOOKUP(A284,Diretriz!A:A,Diretriz!B:B)),"")</f>
        <v>Fortalecer a Gestão Pública, por meio da gestão compartilhada nas regiões de saúde, com aprimoramento do planejamento estratégico e dos instrumentos de gestão, garantindo e fortalecendo as instâncias de controle social.</v>
      </c>
      <c r="C284" s="2" t="s">
        <v>15</v>
      </c>
      <c r="D284" t="str">
        <f>IFERROR((_xlfn.XLOOKUP(C284,Objetivo!C:C,Objetivo!D:D)), "")</f>
        <v>Dimensionar, valorizar e qualificar os trabalhadores/as do SUS no Maranhão, a partir da estruturação de uma política da gestão de trabalho e educação na saúde.</v>
      </c>
      <c r="E284" s="20" t="s">
        <v>16</v>
      </c>
      <c r="F284" s="19" t="str">
        <f>IFERROR(_xlfn.XLOOKUP(E284,#REF!,#REF!), "")</f>
        <v/>
      </c>
      <c r="G284" s="20" t="s">
        <v>682</v>
      </c>
      <c r="H284" t="s">
        <v>401</v>
      </c>
      <c r="I284" s="6" t="s">
        <v>815</v>
      </c>
      <c r="J284" s="6" t="s">
        <v>751</v>
      </c>
      <c r="K284" s="6">
        <v>200</v>
      </c>
    </row>
    <row r="285" spans="1:11" x14ac:dyDescent="0.25">
      <c r="A285" s="2">
        <v>3</v>
      </c>
      <c r="B285" t="str">
        <f>IFERROR((_xlfn.XLOOKUP(A285,Diretriz!A:A,Diretriz!B:B)),"")</f>
        <v>Fortalecer a Gestão Pública, por meio da gestão compartilhada nas regiões de saúde, com aprimoramento do planejamento estratégico e dos instrumentos de gestão, garantindo e fortalecendo as instâncias de controle social.</v>
      </c>
      <c r="C285" s="2" t="s">
        <v>15</v>
      </c>
      <c r="D285" t="str">
        <f>IFERROR((_xlfn.XLOOKUP(C285,Objetivo!C:C,Objetivo!D:D)), "")</f>
        <v>Dimensionar, valorizar e qualificar os trabalhadores/as do SUS no Maranhão, a partir da estruturação de uma política da gestão de trabalho e educação na saúde.</v>
      </c>
      <c r="E285" s="20" t="s">
        <v>16</v>
      </c>
      <c r="F285" s="19" t="str">
        <f>IFERROR(_xlfn.XLOOKUP(E285,#REF!,#REF!), "")</f>
        <v/>
      </c>
      <c r="G285" s="20" t="s">
        <v>683</v>
      </c>
      <c r="H285" t="s">
        <v>402</v>
      </c>
      <c r="I285" s="6" t="s">
        <v>815</v>
      </c>
      <c r="J285" s="6" t="s">
        <v>751</v>
      </c>
      <c r="K285" s="6">
        <v>400</v>
      </c>
    </row>
    <row r="286" spans="1:11" x14ac:dyDescent="0.25">
      <c r="A286" s="2">
        <v>3</v>
      </c>
      <c r="B286" t="str">
        <f>IFERROR((_xlfn.XLOOKUP(A286,Diretriz!A:A,Diretriz!B:B)),"")</f>
        <v>Fortalecer a Gestão Pública, por meio da gestão compartilhada nas regiões de saúde, com aprimoramento do planejamento estratégico e dos instrumentos de gestão, garantindo e fortalecendo as instâncias de controle social.</v>
      </c>
      <c r="C286" s="2" t="s">
        <v>15</v>
      </c>
      <c r="D286" t="str">
        <f>IFERROR((_xlfn.XLOOKUP(C286,Objetivo!C:C,Objetivo!D:D)), "")</f>
        <v>Dimensionar, valorizar e qualificar os trabalhadores/as do SUS no Maranhão, a partir da estruturação de uma política da gestão de trabalho e educação na saúde.</v>
      </c>
      <c r="E286" s="20" t="s">
        <v>16</v>
      </c>
      <c r="F286" s="19" t="str">
        <f>IFERROR(_xlfn.XLOOKUP(E286,#REF!,#REF!), "")</f>
        <v/>
      </c>
      <c r="G286" s="20" t="s">
        <v>684</v>
      </c>
      <c r="H286" t="s">
        <v>403</v>
      </c>
      <c r="I286" s="6" t="s">
        <v>815</v>
      </c>
      <c r="J286" s="6" t="s">
        <v>751</v>
      </c>
      <c r="K286" s="6">
        <v>20</v>
      </c>
    </row>
    <row r="287" spans="1:11" x14ac:dyDescent="0.25">
      <c r="A287" s="2">
        <v>3</v>
      </c>
      <c r="B287" t="str">
        <f>IFERROR((_xlfn.XLOOKUP(A287,Diretriz!A:A,Diretriz!B:B)),"")</f>
        <v>Fortalecer a Gestão Pública, por meio da gestão compartilhada nas regiões de saúde, com aprimoramento do planejamento estratégico e dos instrumentos de gestão, garantindo e fortalecendo as instâncias de controle social.</v>
      </c>
      <c r="C287" s="2" t="s">
        <v>15</v>
      </c>
      <c r="D287" t="str">
        <f>IFERROR((_xlfn.XLOOKUP(C287,Objetivo!C:C,Objetivo!D:D)), "")</f>
        <v>Dimensionar, valorizar e qualificar os trabalhadores/as do SUS no Maranhão, a partir da estruturação de uma política da gestão de trabalho e educação na saúde.</v>
      </c>
      <c r="E287" s="20" t="s">
        <v>16</v>
      </c>
      <c r="F287" s="19" t="str">
        <f>IFERROR(_xlfn.XLOOKUP(E287,#REF!,#REF!), "")</f>
        <v/>
      </c>
      <c r="G287" s="20" t="s">
        <v>685</v>
      </c>
      <c r="H287" t="s">
        <v>404</v>
      </c>
      <c r="I287" s="6" t="s">
        <v>817</v>
      </c>
      <c r="J287" s="6" t="s">
        <v>751</v>
      </c>
      <c r="K287" s="6">
        <v>200</v>
      </c>
    </row>
    <row r="288" spans="1:11" x14ac:dyDescent="0.25">
      <c r="A288" s="2">
        <v>3</v>
      </c>
      <c r="B288" t="str">
        <f>IFERROR((_xlfn.XLOOKUP(A288,Diretriz!A:A,Diretriz!B:B)),"")</f>
        <v>Fortalecer a Gestão Pública, por meio da gestão compartilhada nas regiões de saúde, com aprimoramento do planejamento estratégico e dos instrumentos de gestão, garantindo e fortalecendo as instâncias de controle social.</v>
      </c>
      <c r="C288" s="2" t="s">
        <v>15</v>
      </c>
      <c r="D288" t="str">
        <f>IFERROR((_xlfn.XLOOKUP(C288,Objetivo!C:C,Objetivo!D:D)), "")</f>
        <v>Dimensionar, valorizar e qualificar os trabalhadores/as do SUS no Maranhão, a partir da estruturação de uma política da gestão de trabalho e educação na saúde.</v>
      </c>
      <c r="E288" s="20" t="s">
        <v>16</v>
      </c>
      <c r="F288" s="19" t="str">
        <f>IFERROR(_xlfn.XLOOKUP(E288,#REF!,#REF!), "")</f>
        <v/>
      </c>
      <c r="G288" s="20" t="s">
        <v>686</v>
      </c>
      <c r="H288" t="s">
        <v>405</v>
      </c>
      <c r="I288" s="6" t="s">
        <v>818</v>
      </c>
      <c r="J288" s="6" t="s">
        <v>751</v>
      </c>
      <c r="K288" s="6">
        <v>2000</v>
      </c>
    </row>
    <row r="289" spans="1:11" x14ac:dyDescent="0.25">
      <c r="A289" s="2">
        <v>3</v>
      </c>
      <c r="B289" t="str">
        <f>IFERROR((_xlfn.XLOOKUP(A289,Diretriz!A:A,Diretriz!B:B)),"")</f>
        <v>Fortalecer a Gestão Pública, por meio da gestão compartilhada nas regiões de saúde, com aprimoramento do planejamento estratégico e dos instrumentos de gestão, garantindo e fortalecendo as instâncias de controle social.</v>
      </c>
      <c r="C289" s="2" t="s">
        <v>15</v>
      </c>
      <c r="D289" t="str">
        <f>IFERROR((_xlfn.XLOOKUP(C289,Objetivo!C:C,Objetivo!D:D)), "")</f>
        <v>Dimensionar, valorizar e qualificar os trabalhadores/as do SUS no Maranhão, a partir da estruturação de uma política da gestão de trabalho e educação na saúde.</v>
      </c>
      <c r="E289" s="20" t="s">
        <v>16</v>
      </c>
      <c r="F289" s="19" t="str">
        <f>IFERROR(_xlfn.XLOOKUP(E289,#REF!,#REF!), "")</f>
        <v/>
      </c>
      <c r="G289" s="20" t="s">
        <v>687</v>
      </c>
      <c r="H289" t="s">
        <v>406</v>
      </c>
      <c r="I289" s="6" t="s">
        <v>812</v>
      </c>
      <c r="J289" s="6" t="s">
        <v>751</v>
      </c>
      <c r="K289" s="6">
        <v>1</v>
      </c>
    </row>
    <row r="290" spans="1:11" x14ac:dyDescent="0.25">
      <c r="A290" s="2">
        <v>3</v>
      </c>
      <c r="B290" t="str">
        <f>IFERROR((_xlfn.XLOOKUP(A290,Diretriz!A:A,Diretriz!B:B)),"")</f>
        <v>Fortalecer a Gestão Pública, por meio da gestão compartilhada nas regiões de saúde, com aprimoramento do planejamento estratégico e dos instrumentos de gestão, garantindo e fortalecendo as instâncias de controle social.</v>
      </c>
      <c r="C290" s="2" t="s">
        <v>15</v>
      </c>
      <c r="D290" t="str">
        <f>IFERROR((_xlfn.XLOOKUP(C290,Objetivo!C:C,Objetivo!D:D)), "")</f>
        <v>Dimensionar, valorizar e qualificar os trabalhadores/as do SUS no Maranhão, a partir da estruturação de uma política da gestão de trabalho e educação na saúde.</v>
      </c>
      <c r="E290" s="20" t="s">
        <v>24</v>
      </c>
      <c r="F290" s="19" t="str">
        <f>IFERROR(_xlfn.XLOOKUP(E290,#REF!,#REF!), "")</f>
        <v/>
      </c>
      <c r="G290" s="20" t="s">
        <v>688</v>
      </c>
      <c r="H290" t="s">
        <v>407</v>
      </c>
      <c r="I290" s="6" t="s">
        <v>820</v>
      </c>
      <c r="J290" s="6" t="s">
        <v>751</v>
      </c>
      <c r="K290" s="6">
        <v>70</v>
      </c>
    </row>
    <row r="291" spans="1:11" x14ac:dyDescent="0.25">
      <c r="A291" s="2">
        <v>3</v>
      </c>
      <c r="B291" t="str">
        <f>IFERROR((_xlfn.XLOOKUP(A291,Diretriz!A:A,Diretriz!B:B)),"")</f>
        <v>Fortalecer a Gestão Pública, por meio da gestão compartilhada nas regiões de saúde, com aprimoramento do planejamento estratégico e dos instrumentos de gestão, garantindo e fortalecendo as instâncias de controle social.</v>
      </c>
      <c r="C291" s="2" t="s">
        <v>15</v>
      </c>
      <c r="D291" t="str">
        <f>IFERROR((_xlfn.XLOOKUP(C291,Objetivo!C:C,Objetivo!D:D)), "")</f>
        <v>Dimensionar, valorizar e qualificar os trabalhadores/as do SUS no Maranhão, a partir da estruturação de uma política da gestão de trabalho e educação na saúde.</v>
      </c>
      <c r="E291" s="20" t="s">
        <v>24</v>
      </c>
      <c r="F291" s="19" t="str">
        <f>IFERROR(_xlfn.XLOOKUP(E291,#REF!,#REF!), "")</f>
        <v/>
      </c>
      <c r="G291" s="20" t="s">
        <v>689</v>
      </c>
      <c r="H291" t="s">
        <v>408</v>
      </c>
      <c r="I291" s="6" t="s">
        <v>820</v>
      </c>
      <c r="J291" s="6" t="s">
        <v>751</v>
      </c>
      <c r="K291" s="6">
        <v>70</v>
      </c>
    </row>
    <row r="292" spans="1:11" x14ac:dyDescent="0.25">
      <c r="A292" s="2">
        <v>3</v>
      </c>
      <c r="B292" t="str">
        <f>IFERROR((_xlfn.XLOOKUP(A292,Diretriz!A:A,Diretriz!B:B)),"")</f>
        <v>Fortalecer a Gestão Pública, por meio da gestão compartilhada nas regiões de saúde, com aprimoramento do planejamento estratégico e dos instrumentos de gestão, garantindo e fortalecendo as instâncias de controle social.</v>
      </c>
      <c r="C292" s="2" t="s">
        <v>15</v>
      </c>
      <c r="D292" t="str">
        <f>IFERROR((_xlfn.XLOOKUP(C292,Objetivo!C:C,Objetivo!D:D)), "")</f>
        <v>Dimensionar, valorizar e qualificar os trabalhadores/as do SUS no Maranhão, a partir da estruturação de uma política da gestão de trabalho e educação na saúde.</v>
      </c>
      <c r="E292" s="20" t="s">
        <v>24</v>
      </c>
      <c r="F292" s="19" t="str">
        <f>IFERROR(_xlfn.XLOOKUP(E292,#REF!,#REF!), "")</f>
        <v/>
      </c>
      <c r="G292" s="20" t="s">
        <v>690</v>
      </c>
      <c r="H292" t="s">
        <v>409</v>
      </c>
      <c r="I292" s="6" t="s">
        <v>820</v>
      </c>
      <c r="J292" s="6" t="s">
        <v>751</v>
      </c>
      <c r="K292" s="6">
        <v>70</v>
      </c>
    </row>
    <row r="293" spans="1:11" x14ac:dyDescent="0.25">
      <c r="A293" s="2">
        <v>3</v>
      </c>
      <c r="B293" t="str">
        <f>IFERROR((_xlfn.XLOOKUP(A293,Diretriz!A:A,Diretriz!B:B)),"")</f>
        <v>Fortalecer a Gestão Pública, por meio da gestão compartilhada nas regiões de saúde, com aprimoramento do planejamento estratégico e dos instrumentos de gestão, garantindo e fortalecendo as instâncias de controle social.</v>
      </c>
      <c r="C293" s="2" t="s">
        <v>15</v>
      </c>
      <c r="D293" t="str">
        <f>IFERROR((_xlfn.XLOOKUP(C293,Objetivo!C:C,Objetivo!D:D)), "")</f>
        <v>Dimensionar, valorizar e qualificar os trabalhadores/as do SUS no Maranhão, a partir da estruturação de uma política da gestão de trabalho e educação na saúde.</v>
      </c>
      <c r="E293" s="20" t="s">
        <v>24</v>
      </c>
      <c r="F293" s="19" t="str">
        <f>IFERROR(_xlfn.XLOOKUP(E293,#REF!,#REF!), "")</f>
        <v/>
      </c>
      <c r="G293" s="20" t="s">
        <v>691</v>
      </c>
      <c r="H293" t="s">
        <v>410</v>
      </c>
      <c r="I293" s="6" t="s">
        <v>820</v>
      </c>
      <c r="J293" s="6" t="s">
        <v>751</v>
      </c>
      <c r="K293" s="6">
        <v>90</v>
      </c>
    </row>
    <row r="294" spans="1:11" x14ac:dyDescent="0.25">
      <c r="A294" s="2">
        <v>3</v>
      </c>
      <c r="B294" t="str">
        <f>IFERROR((_xlfn.XLOOKUP(A294,Diretriz!A:A,Diretriz!B:B)),"")</f>
        <v>Fortalecer a Gestão Pública, por meio da gestão compartilhada nas regiões de saúde, com aprimoramento do planejamento estratégico e dos instrumentos de gestão, garantindo e fortalecendo as instâncias de controle social.</v>
      </c>
      <c r="C294" s="2" t="s">
        <v>15</v>
      </c>
      <c r="D294" t="str">
        <f>IFERROR((_xlfn.XLOOKUP(C294,Objetivo!C:C,Objetivo!D:D)), "")</f>
        <v>Dimensionar, valorizar e qualificar os trabalhadores/as do SUS no Maranhão, a partir da estruturação de uma política da gestão de trabalho e educação na saúde.</v>
      </c>
      <c r="E294" s="20" t="s">
        <v>24</v>
      </c>
      <c r="F294" s="19" t="str">
        <f>IFERROR(_xlfn.XLOOKUP(E294,#REF!,#REF!), "")</f>
        <v/>
      </c>
      <c r="G294" s="20" t="s">
        <v>692</v>
      </c>
      <c r="H294" t="s">
        <v>411</v>
      </c>
      <c r="I294" s="6" t="s">
        <v>820</v>
      </c>
      <c r="J294" s="6" t="s">
        <v>751</v>
      </c>
      <c r="K294" s="6">
        <v>40</v>
      </c>
    </row>
    <row r="295" spans="1:11" x14ac:dyDescent="0.25">
      <c r="A295" s="2">
        <v>3</v>
      </c>
      <c r="B295" t="str">
        <f>IFERROR((_xlfn.XLOOKUP(A295,Diretriz!A:A,Diretriz!B:B)),"")</f>
        <v>Fortalecer a Gestão Pública, por meio da gestão compartilhada nas regiões de saúde, com aprimoramento do planejamento estratégico e dos instrumentos de gestão, garantindo e fortalecendo as instâncias de controle social.</v>
      </c>
      <c r="C295" s="2" t="s">
        <v>15</v>
      </c>
      <c r="D295" t="str">
        <f>IFERROR((_xlfn.XLOOKUP(C295,Objetivo!C:C,Objetivo!D:D)), "")</f>
        <v>Dimensionar, valorizar e qualificar os trabalhadores/as do SUS no Maranhão, a partir da estruturação de uma política da gestão de trabalho e educação na saúde.</v>
      </c>
      <c r="E295" s="20" t="s">
        <v>24</v>
      </c>
      <c r="F295" s="19" t="str">
        <f>IFERROR(_xlfn.XLOOKUP(E295,#REF!,#REF!), "")</f>
        <v/>
      </c>
      <c r="G295" s="20" t="s">
        <v>693</v>
      </c>
      <c r="H295" t="s">
        <v>412</v>
      </c>
      <c r="I295" s="6" t="s">
        <v>821</v>
      </c>
      <c r="J295" s="6" t="s">
        <v>751</v>
      </c>
      <c r="K295" s="6">
        <v>4</v>
      </c>
    </row>
    <row r="296" spans="1:11" x14ac:dyDescent="0.25">
      <c r="A296" s="2">
        <v>3</v>
      </c>
      <c r="B296" t="str">
        <f>IFERROR((_xlfn.XLOOKUP(A296,Diretriz!A:A,Diretriz!B:B)),"")</f>
        <v>Fortalecer a Gestão Pública, por meio da gestão compartilhada nas regiões de saúde, com aprimoramento do planejamento estratégico e dos instrumentos de gestão, garantindo e fortalecendo as instâncias de controle social.</v>
      </c>
      <c r="C296" s="2" t="s">
        <v>15</v>
      </c>
      <c r="D296" t="str">
        <f>IFERROR((_xlfn.XLOOKUP(C296,Objetivo!C:C,Objetivo!D:D)), "")</f>
        <v>Dimensionar, valorizar e qualificar os trabalhadores/as do SUS no Maranhão, a partir da estruturação de uma política da gestão de trabalho e educação na saúde.</v>
      </c>
      <c r="E296" s="20" t="s">
        <v>25</v>
      </c>
      <c r="F296" s="19" t="str">
        <f>IFERROR(_xlfn.XLOOKUP(E296,#REF!,#REF!), "")</f>
        <v/>
      </c>
      <c r="G296" s="20" t="s">
        <v>694</v>
      </c>
      <c r="H296" t="s">
        <v>413</v>
      </c>
      <c r="I296" s="6" t="s">
        <v>822</v>
      </c>
      <c r="J296" s="6" t="s">
        <v>751</v>
      </c>
      <c r="K296" s="6">
        <v>8</v>
      </c>
    </row>
    <row r="297" spans="1:11" x14ac:dyDescent="0.25">
      <c r="A297" s="2">
        <v>3</v>
      </c>
      <c r="B297" t="str">
        <f>IFERROR((_xlfn.XLOOKUP(A297,Diretriz!A:A,Diretriz!B:B)),"")</f>
        <v>Fortalecer a Gestão Pública, por meio da gestão compartilhada nas regiões de saúde, com aprimoramento do planejamento estratégico e dos instrumentos de gestão, garantindo e fortalecendo as instâncias de controle social.</v>
      </c>
      <c r="C297" s="2" t="s">
        <v>15</v>
      </c>
      <c r="D297" t="str">
        <f>IFERROR((_xlfn.XLOOKUP(C297,Objetivo!C:C,Objetivo!D:D)), "")</f>
        <v>Dimensionar, valorizar e qualificar os trabalhadores/as do SUS no Maranhão, a partir da estruturação de uma política da gestão de trabalho e educação na saúde.</v>
      </c>
      <c r="E297" s="20" t="s">
        <v>25</v>
      </c>
      <c r="F297" s="19" t="str">
        <f>IFERROR(_xlfn.XLOOKUP(E297,#REF!,#REF!), "")</f>
        <v/>
      </c>
      <c r="G297" s="20" t="s">
        <v>695</v>
      </c>
      <c r="H297" t="s">
        <v>414</v>
      </c>
      <c r="I297" s="6" t="s">
        <v>823</v>
      </c>
      <c r="J297" s="6" t="s">
        <v>752</v>
      </c>
      <c r="K297" s="6">
        <v>70</v>
      </c>
    </row>
    <row r="298" spans="1:11" x14ac:dyDescent="0.25">
      <c r="A298" s="2">
        <v>3</v>
      </c>
      <c r="B298" t="str">
        <f>IFERROR((_xlfn.XLOOKUP(A298,Diretriz!A:A,Diretriz!B:B)),"")</f>
        <v>Fortalecer a Gestão Pública, por meio da gestão compartilhada nas regiões de saúde, com aprimoramento do planejamento estratégico e dos instrumentos de gestão, garantindo e fortalecendo as instâncias de controle social.</v>
      </c>
      <c r="C298" s="2" t="s">
        <v>15</v>
      </c>
      <c r="D298" t="str">
        <f>IFERROR((_xlfn.XLOOKUP(C298,Objetivo!C:C,Objetivo!D:D)), "")</f>
        <v>Dimensionar, valorizar e qualificar os trabalhadores/as do SUS no Maranhão, a partir da estruturação de uma política da gestão de trabalho e educação na saúde.</v>
      </c>
      <c r="E298" s="20" t="s">
        <v>25</v>
      </c>
      <c r="F298" s="19" t="str">
        <f>IFERROR(_xlfn.XLOOKUP(E298,#REF!,#REF!), "")</f>
        <v/>
      </c>
      <c r="G298" s="20" t="s">
        <v>696</v>
      </c>
      <c r="H298" t="s">
        <v>415</v>
      </c>
      <c r="I298" s="6" t="s">
        <v>824</v>
      </c>
      <c r="J298" s="6" t="s">
        <v>752</v>
      </c>
      <c r="K298" s="6">
        <v>70</v>
      </c>
    </row>
    <row r="299" spans="1:11" x14ac:dyDescent="0.25">
      <c r="A299" s="2">
        <v>3</v>
      </c>
      <c r="B299" t="str">
        <f>IFERROR((_xlfn.XLOOKUP(A299,Diretriz!A:A,Diretriz!B:B)),"")</f>
        <v>Fortalecer a Gestão Pública, por meio da gestão compartilhada nas regiões de saúde, com aprimoramento do planejamento estratégico e dos instrumentos de gestão, garantindo e fortalecendo as instâncias de controle social.</v>
      </c>
      <c r="C299" s="2" t="s">
        <v>15</v>
      </c>
      <c r="D299" t="str">
        <f>IFERROR((_xlfn.XLOOKUP(C299,Objetivo!C:C,Objetivo!D:D)), "")</f>
        <v>Dimensionar, valorizar e qualificar os trabalhadores/as do SUS no Maranhão, a partir da estruturação de uma política da gestão de trabalho e educação na saúde.</v>
      </c>
      <c r="E299" s="20" t="s">
        <v>17</v>
      </c>
      <c r="F299" s="19" t="str">
        <f>IFERROR(_xlfn.XLOOKUP(E299,#REF!,#REF!), "")</f>
        <v/>
      </c>
      <c r="G299" s="20" t="s">
        <v>697</v>
      </c>
      <c r="H299" t="s">
        <v>416</v>
      </c>
      <c r="I299" s="6" t="s">
        <v>723</v>
      </c>
      <c r="J299" s="6" t="s">
        <v>751</v>
      </c>
      <c r="K299" s="6">
        <v>55</v>
      </c>
    </row>
    <row r="300" spans="1:11" x14ac:dyDescent="0.25">
      <c r="A300" s="2">
        <v>3</v>
      </c>
      <c r="B300" t="str">
        <f>IFERROR((_xlfn.XLOOKUP(A300,Diretriz!A:A,Diretriz!B:B)),"")</f>
        <v>Fortalecer a Gestão Pública, por meio da gestão compartilhada nas regiões de saúde, com aprimoramento do planejamento estratégico e dos instrumentos de gestão, garantindo e fortalecendo as instâncias de controle social.</v>
      </c>
      <c r="C300" s="2" t="s">
        <v>15</v>
      </c>
      <c r="D300" t="str">
        <f>IFERROR((_xlfn.XLOOKUP(C300,Objetivo!C:C,Objetivo!D:D)), "")</f>
        <v>Dimensionar, valorizar e qualificar os trabalhadores/as do SUS no Maranhão, a partir da estruturação de uma política da gestão de trabalho e educação na saúde.</v>
      </c>
      <c r="E300" s="20" t="s">
        <v>17</v>
      </c>
      <c r="F300" s="19" t="str">
        <f>IFERROR(_xlfn.XLOOKUP(E300,#REF!,#REF!), "")</f>
        <v/>
      </c>
      <c r="G300" s="20" t="s">
        <v>698</v>
      </c>
      <c r="H300" t="s">
        <v>417</v>
      </c>
      <c r="I300" s="6" t="s">
        <v>723</v>
      </c>
      <c r="J300" s="6" t="s">
        <v>751</v>
      </c>
      <c r="K300" s="6">
        <v>35</v>
      </c>
    </row>
    <row r="301" spans="1:11" x14ac:dyDescent="0.25">
      <c r="A301" s="2">
        <v>3</v>
      </c>
      <c r="B301" t="str">
        <f>IFERROR((_xlfn.XLOOKUP(A301,Diretriz!A:A,Diretriz!B:B)),"")</f>
        <v>Fortalecer a Gestão Pública, por meio da gestão compartilhada nas regiões de saúde, com aprimoramento do planejamento estratégico e dos instrumentos de gestão, garantindo e fortalecendo as instâncias de controle social.</v>
      </c>
      <c r="C301" s="2" t="s">
        <v>15</v>
      </c>
      <c r="D301" t="str">
        <f>IFERROR((_xlfn.XLOOKUP(C301,Objetivo!C:C,Objetivo!D:D)), "")</f>
        <v>Dimensionar, valorizar e qualificar os trabalhadores/as do SUS no Maranhão, a partir da estruturação de uma política da gestão de trabalho e educação na saúde.</v>
      </c>
      <c r="E301" s="20" t="s">
        <v>17</v>
      </c>
      <c r="F301" s="19" t="str">
        <f>IFERROR(_xlfn.XLOOKUP(E301,#REF!,#REF!), "")</f>
        <v/>
      </c>
      <c r="G301" s="20" t="s">
        <v>699</v>
      </c>
      <c r="H301" t="s">
        <v>418</v>
      </c>
      <c r="I301" s="6" t="s">
        <v>723</v>
      </c>
      <c r="J301" s="6" t="s">
        <v>751</v>
      </c>
      <c r="K301" s="6">
        <v>4</v>
      </c>
    </row>
    <row r="302" spans="1:11" x14ac:dyDescent="0.25">
      <c r="A302" s="2">
        <v>3</v>
      </c>
      <c r="B302" t="str">
        <f>IFERROR((_xlfn.XLOOKUP(A302,Diretriz!A:A,Diretriz!B:B)),"")</f>
        <v>Fortalecer a Gestão Pública, por meio da gestão compartilhada nas regiões de saúde, com aprimoramento do planejamento estratégico e dos instrumentos de gestão, garantindo e fortalecendo as instâncias de controle social.</v>
      </c>
      <c r="C302" s="2" t="s">
        <v>15</v>
      </c>
      <c r="D302" t="str">
        <f>IFERROR((_xlfn.XLOOKUP(C302,Objetivo!C:C,Objetivo!D:D)), "")</f>
        <v>Dimensionar, valorizar e qualificar os trabalhadores/as do SUS no Maranhão, a partir da estruturação de uma política da gestão de trabalho e educação na saúde.</v>
      </c>
      <c r="E302" s="20" t="s">
        <v>17</v>
      </c>
      <c r="F302" s="19" t="str">
        <f>IFERROR(_xlfn.XLOOKUP(E302,#REF!,#REF!), "")</f>
        <v/>
      </c>
      <c r="G302" s="20" t="s">
        <v>700</v>
      </c>
      <c r="H302" t="s">
        <v>419</v>
      </c>
      <c r="I302" s="6" t="s">
        <v>723</v>
      </c>
      <c r="J302" s="6" t="s">
        <v>751</v>
      </c>
      <c r="K302" s="6">
        <v>217</v>
      </c>
    </row>
    <row r="303" spans="1:11" x14ac:dyDescent="0.25">
      <c r="A303" s="2">
        <v>3</v>
      </c>
      <c r="B303" t="str">
        <f>IFERROR((_xlfn.XLOOKUP(A303,Diretriz!A:A,Diretriz!B:B)),"")</f>
        <v>Fortalecer a Gestão Pública, por meio da gestão compartilhada nas regiões de saúde, com aprimoramento do planejamento estratégico e dos instrumentos de gestão, garantindo e fortalecendo as instâncias de controle social.</v>
      </c>
      <c r="C303" s="2" t="s">
        <v>15</v>
      </c>
      <c r="D303" t="str">
        <f>IFERROR((_xlfn.XLOOKUP(C303,Objetivo!C:C,Objetivo!D:D)), "")</f>
        <v>Dimensionar, valorizar e qualificar os trabalhadores/as do SUS no Maranhão, a partir da estruturação de uma política da gestão de trabalho e educação na saúde.</v>
      </c>
      <c r="E303" s="20" t="s">
        <v>26</v>
      </c>
      <c r="F303" s="19" t="str">
        <f>IFERROR(_xlfn.XLOOKUP(E303,#REF!,#REF!), "")</f>
        <v/>
      </c>
      <c r="G303" s="20" t="s">
        <v>701</v>
      </c>
      <c r="H303" t="s">
        <v>420</v>
      </c>
      <c r="I303" s="6" t="s">
        <v>825</v>
      </c>
      <c r="J303" s="6" t="s">
        <v>751</v>
      </c>
      <c r="K303" s="6">
        <v>56</v>
      </c>
    </row>
    <row r="304" spans="1:11" x14ac:dyDescent="0.25">
      <c r="A304" s="2">
        <v>3</v>
      </c>
      <c r="B304" t="str">
        <f>IFERROR((_xlfn.XLOOKUP(A304,Diretriz!A:A,Diretriz!B:B)),"")</f>
        <v>Fortalecer a Gestão Pública, por meio da gestão compartilhada nas regiões de saúde, com aprimoramento do planejamento estratégico e dos instrumentos de gestão, garantindo e fortalecendo as instâncias de controle social.</v>
      </c>
      <c r="C304" s="2" t="s">
        <v>15</v>
      </c>
      <c r="D304" t="str">
        <f>IFERROR((_xlfn.XLOOKUP(C304,Objetivo!C:C,Objetivo!D:D)), "")</f>
        <v>Dimensionar, valorizar e qualificar os trabalhadores/as do SUS no Maranhão, a partir da estruturação de uma política da gestão de trabalho e educação na saúde.</v>
      </c>
      <c r="E304" s="20" t="s">
        <v>26</v>
      </c>
      <c r="F304" s="19" t="str">
        <f>IFERROR(_xlfn.XLOOKUP(E304,#REF!,#REF!), "")</f>
        <v/>
      </c>
      <c r="G304" s="20" t="s">
        <v>702</v>
      </c>
      <c r="H304" t="s">
        <v>421</v>
      </c>
      <c r="I304" s="6" t="s">
        <v>825</v>
      </c>
      <c r="J304" s="6" t="s">
        <v>751</v>
      </c>
      <c r="K304" s="6">
        <v>32</v>
      </c>
    </row>
    <row r="305" spans="1:11" x14ac:dyDescent="0.25">
      <c r="A305" s="2">
        <v>3</v>
      </c>
      <c r="B305" t="str">
        <f>IFERROR((_xlfn.XLOOKUP(A305,Diretriz!A:A,Diretriz!B:B)),"")</f>
        <v>Fortalecer a Gestão Pública, por meio da gestão compartilhada nas regiões de saúde, com aprimoramento do planejamento estratégico e dos instrumentos de gestão, garantindo e fortalecendo as instâncias de controle social.</v>
      </c>
      <c r="C305" s="2" t="s">
        <v>15</v>
      </c>
      <c r="D305" t="str">
        <f>IFERROR((_xlfn.XLOOKUP(C305,Objetivo!C:C,Objetivo!D:D)), "")</f>
        <v>Dimensionar, valorizar e qualificar os trabalhadores/as do SUS no Maranhão, a partir da estruturação de uma política da gestão de trabalho e educação na saúde.</v>
      </c>
      <c r="E305" s="20" t="s">
        <v>26</v>
      </c>
      <c r="F305" s="19" t="str">
        <f>IFERROR(_xlfn.XLOOKUP(E305,#REF!,#REF!), "")</f>
        <v/>
      </c>
      <c r="G305" s="20" t="s">
        <v>703</v>
      </c>
      <c r="H305" t="s">
        <v>422</v>
      </c>
      <c r="I305" s="6" t="s">
        <v>826</v>
      </c>
      <c r="J305" s="6" t="s">
        <v>751</v>
      </c>
      <c r="K305" s="6">
        <v>30</v>
      </c>
    </row>
    <row r="306" spans="1:11" x14ac:dyDescent="0.25">
      <c r="A306" s="2">
        <v>3</v>
      </c>
      <c r="B306" t="str">
        <f>IFERROR((_xlfn.XLOOKUP(A306,Diretriz!A:A,Diretriz!B:B)),"")</f>
        <v>Fortalecer a Gestão Pública, por meio da gestão compartilhada nas regiões de saúde, com aprimoramento do planejamento estratégico e dos instrumentos de gestão, garantindo e fortalecendo as instâncias de controle social.</v>
      </c>
      <c r="C306" s="2" t="s">
        <v>15</v>
      </c>
      <c r="D306" t="str">
        <f>IFERROR((_xlfn.XLOOKUP(C306,Objetivo!C:C,Objetivo!D:D)), "")</f>
        <v>Dimensionar, valorizar e qualificar os trabalhadores/as do SUS no Maranhão, a partir da estruturação de uma política da gestão de trabalho e educação na saúde.</v>
      </c>
      <c r="E306" s="20" t="s">
        <v>26</v>
      </c>
      <c r="F306" s="19" t="str">
        <f>IFERROR(_xlfn.XLOOKUP(E306,#REF!,#REF!), "")</f>
        <v/>
      </c>
      <c r="G306" s="20" t="s">
        <v>704</v>
      </c>
      <c r="H306" t="s">
        <v>423</v>
      </c>
      <c r="I306" s="6" t="s">
        <v>738</v>
      </c>
      <c r="J306" s="6" t="s">
        <v>751</v>
      </c>
      <c r="K306" s="6">
        <v>38</v>
      </c>
    </row>
    <row r="307" spans="1:11" x14ac:dyDescent="0.25">
      <c r="A307" s="2">
        <v>3</v>
      </c>
      <c r="B307" t="str">
        <f>IFERROR((_xlfn.XLOOKUP(A307,Diretriz!A:A,Diretriz!B:B)),"")</f>
        <v>Fortalecer a Gestão Pública, por meio da gestão compartilhada nas regiões de saúde, com aprimoramento do planejamento estratégico e dos instrumentos de gestão, garantindo e fortalecendo as instâncias de controle social.</v>
      </c>
      <c r="C307" s="2" t="s">
        <v>18</v>
      </c>
      <c r="D307" t="str">
        <f>IFERROR((_xlfn.XLOOKUP(C307,Objetivo!C:C,Objetivo!D:D)), "")</f>
        <v>Fortalecer os espaços de gestão compartilhada e descentralizada das ações da Secretaria Estadual de Saúde, visando à transparência e aprimorando o controle social.</v>
      </c>
      <c r="E307" s="20" t="s">
        <v>27</v>
      </c>
      <c r="F307" s="19" t="str">
        <f>IFERROR(_xlfn.XLOOKUP(E307,#REF!,#REF!), "")</f>
        <v/>
      </c>
      <c r="G307" s="20" t="s">
        <v>705</v>
      </c>
      <c r="H307" t="s">
        <v>424</v>
      </c>
      <c r="I307" s="6" t="s">
        <v>827</v>
      </c>
      <c r="J307" s="6" t="s">
        <v>751</v>
      </c>
      <c r="K307" s="6">
        <v>24</v>
      </c>
    </row>
    <row r="308" spans="1:11" x14ac:dyDescent="0.25">
      <c r="A308" s="2">
        <v>3</v>
      </c>
      <c r="B308" t="str">
        <f>IFERROR((_xlfn.XLOOKUP(A308,Diretriz!A:A,Diretriz!B:B)),"")</f>
        <v>Fortalecer a Gestão Pública, por meio da gestão compartilhada nas regiões de saúde, com aprimoramento do planejamento estratégico e dos instrumentos de gestão, garantindo e fortalecendo as instâncias de controle social.</v>
      </c>
      <c r="C308" s="2" t="s">
        <v>18</v>
      </c>
      <c r="D308" t="str">
        <f>IFERROR((_xlfn.XLOOKUP(C308,Objetivo!C:C,Objetivo!D:D)), "")</f>
        <v>Fortalecer os espaços de gestão compartilhada e descentralizada das ações da Secretaria Estadual de Saúde, visando à transparência e aprimorando o controle social.</v>
      </c>
      <c r="E308" s="20" t="s">
        <v>27</v>
      </c>
      <c r="F308" s="19" t="str">
        <f>IFERROR(_xlfn.XLOOKUP(E308,#REF!,#REF!), "")</f>
        <v/>
      </c>
      <c r="G308" s="20" t="s">
        <v>706</v>
      </c>
      <c r="H308" t="s">
        <v>425</v>
      </c>
      <c r="I308" s="6" t="s">
        <v>806</v>
      </c>
      <c r="J308" s="6" t="s">
        <v>751</v>
      </c>
      <c r="K308" s="6">
        <v>6</v>
      </c>
    </row>
    <row r="309" spans="1:11" x14ac:dyDescent="0.25">
      <c r="A309" s="2">
        <v>3</v>
      </c>
      <c r="B309" t="str">
        <f>IFERROR((_xlfn.XLOOKUP(A309,Diretriz!A:A,Diretriz!B:B)),"")</f>
        <v>Fortalecer a Gestão Pública, por meio da gestão compartilhada nas regiões de saúde, com aprimoramento do planejamento estratégico e dos instrumentos de gestão, garantindo e fortalecendo as instâncias de controle social.</v>
      </c>
      <c r="C309" s="2" t="s">
        <v>18</v>
      </c>
      <c r="D309" t="str">
        <f>IFERROR((_xlfn.XLOOKUP(C309,Objetivo!C:C,Objetivo!D:D)), "")</f>
        <v>Fortalecer os espaços de gestão compartilhada e descentralizada das ações da Secretaria Estadual de Saúde, visando à transparência e aprimorando o controle social.</v>
      </c>
      <c r="E309" s="20" t="s">
        <v>27</v>
      </c>
      <c r="F309" s="19" t="str">
        <f>IFERROR(_xlfn.XLOOKUP(E309,#REF!,#REF!), "")</f>
        <v/>
      </c>
      <c r="G309" s="20" t="s">
        <v>707</v>
      </c>
      <c r="H309" t="s">
        <v>426</v>
      </c>
      <c r="I309" s="6" t="s">
        <v>806</v>
      </c>
      <c r="J309" s="6" t="s">
        <v>751</v>
      </c>
      <c r="K309" s="6">
        <v>24</v>
      </c>
    </row>
    <row r="310" spans="1:11" x14ac:dyDescent="0.25">
      <c r="A310" s="2">
        <v>3</v>
      </c>
      <c r="B310" t="str">
        <f>IFERROR((_xlfn.XLOOKUP(A310,Diretriz!A:A,Diretriz!B:B)),"")</f>
        <v>Fortalecer a Gestão Pública, por meio da gestão compartilhada nas regiões de saúde, com aprimoramento do planejamento estratégico e dos instrumentos de gestão, garantindo e fortalecendo as instâncias de controle social.</v>
      </c>
      <c r="C310" s="2" t="s">
        <v>18</v>
      </c>
      <c r="D310" t="str">
        <f>IFERROR((_xlfn.XLOOKUP(C310,Objetivo!C:C,Objetivo!D:D)), "")</f>
        <v>Fortalecer os espaços de gestão compartilhada e descentralizada das ações da Secretaria Estadual de Saúde, visando à transparência e aprimorando o controle social.</v>
      </c>
      <c r="E310" s="20" t="s">
        <v>27</v>
      </c>
      <c r="F310" s="19" t="str">
        <f>IFERROR(_xlfn.XLOOKUP(E310,#REF!,#REF!), "")</f>
        <v/>
      </c>
      <c r="G310" s="20" t="s">
        <v>708</v>
      </c>
      <c r="H310" t="s">
        <v>427</v>
      </c>
      <c r="I310" s="6" t="s">
        <v>738</v>
      </c>
      <c r="J310" s="6" t="s">
        <v>751</v>
      </c>
      <c r="K310" s="6">
        <v>2</v>
      </c>
    </row>
    <row r="311" spans="1:11" x14ac:dyDescent="0.25">
      <c r="A311" s="2">
        <v>3</v>
      </c>
      <c r="B311" t="str">
        <f>IFERROR((_xlfn.XLOOKUP(A311,Diretriz!A:A,Diretriz!B:B)),"")</f>
        <v>Fortalecer a Gestão Pública, por meio da gestão compartilhada nas regiões de saúde, com aprimoramento do planejamento estratégico e dos instrumentos de gestão, garantindo e fortalecendo as instâncias de controle social.</v>
      </c>
      <c r="C311" s="2" t="s">
        <v>18</v>
      </c>
      <c r="D311" t="str">
        <f>IFERROR((_xlfn.XLOOKUP(C311,Objetivo!C:C,Objetivo!D:D)), "")</f>
        <v>Fortalecer os espaços de gestão compartilhada e descentralizada das ações da Secretaria Estadual de Saúde, visando à transparência e aprimorando o controle social.</v>
      </c>
      <c r="E311" s="20" t="s">
        <v>27</v>
      </c>
      <c r="F311" s="19" t="str">
        <f>IFERROR(_xlfn.XLOOKUP(E311,#REF!,#REF!), "")</f>
        <v/>
      </c>
      <c r="G311" s="20" t="s">
        <v>709</v>
      </c>
      <c r="H311" t="s">
        <v>428</v>
      </c>
      <c r="I311" s="6" t="s">
        <v>828</v>
      </c>
      <c r="J311" s="6" t="s">
        <v>751</v>
      </c>
      <c r="K311" s="6">
        <v>1</v>
      </c>
    </row>
    <row r="312" spans="1:11" x14ac:dyDescent="0.25">
      <c r="A312" s="2">
        <v>3</v>
      </c>
      <c r="B312" t="str">
        <f>IFERROR((_xlfn.XLOOKUP(A312,Diretriz!A:A,Diretriz!B:B)),"")</f>
        <v>Fortalecer a Gestão Pública, por meio da gestão compartilhada nas regiões de saúde, com aprimoramento do planejamento estratégico e dos instrumentos de gestão, garantindo e fortalecendo as instâncias de controle social.</v>
      </c>
      <c r="C312" s="2" t="s">
        <v>18</v>
      </c>
      <c r="D312" t="str">
        <f>IFERROR((_xlfn.XLOOKUP(C312,Objetivo!C:C,Objetivo!D:D)), "")</f>
        <v>Fortalecer os espaços de gestão compartilhada e descentralizada das ações da Secretaria Estadual de Saúde, visando à transparência e aprimorando o controle social.</v>
      </c>
      <c r="E312" s="20" t="s">
        <v>27</v>
      </c>
      <c r="F312" s="19" t="str">
        <f>IFERROR(_xlfn.XLOOKUP(E312,#REF!,#REF!), "")</f>
        <v/>
      </c>
      <c r="G312" s="20" t="s">
        <v>710</v>
      </c>
      <c r="H312" t="s">
        <v>429</v>
      </c>
      <c r="I312" s="6" t="s">
        <v>829</v>
      </c>
      <c r="J312" s="6" t="s">
        <v>751</v>
      </c>
      <c r="K312" s="6">
        <v>1</v>
      </c>
    </row>
    <row r="313" spans="1:11" x14ac:dyDescent="0.25">
      <c r="A313" s="2">
        <v>4</v>
      </c>
      <c r="B313" t="str">
        <f>IFERROR((_xlfn.XLOOKUP(A313,Diretriz!A:A,Diretriz!B:B)),"")</f>
        <v>Garantir o financiamento público e sustentável ao Sistema Único de Saúde, melhorando o padrão de gastos e qualificando o financiamento tripartite em saúde.</v>
      </c>
      <c r="C313" s="2" t="s">
        <v>28</v>
      </c>
      <c r="D313" t="str">
        <f>IFERROR((_xlfn.XLOOKUP(C313,Objetivo!C:C,Objetivo!D:D)), "")</f>
        <v>Garantir os investimentos em ações e serviços de saúde no Estado do Maranhão, ampliando o cofinanciamento, a captação de recursos e aumentando a eficiência, eficácia e efetividade da execução orçamentária e financeira</v>
      </c>
      <c r="E313" s="20" t="s">
        <v>29</v>
      </c>
      <c r="F313" s="19" t="str">
        <f>IFERROR(_xlfn.XLOOKUP(E313,#REF!,#REF!), "")</f>
        <v/>
      </c>
      <c r="G313" s="20" t="s">
        <v>711</v>
      </c>
      <c r="H313" t="s">
        <v>430</v>
      </c>
      <c r="I313" s="6" t="s">
        <v>830</v>
      </c>
      <c r="J313" s="6" t="s">
        <v>751</v>
      </c>
      <c r="K313" s="6">
        <v>38</v>
      </c>
    </row>
    <row r="314" spans="1:11" x14ac:dyDescent="0.25">
      <c r="A314" s="2">
        <v>4</v>
      </c>
      <c r="B314" t="str">
        <f>IFERROR((_xlfn.XLOOKUP(A314,Diretriz!A:A,Diretriz!B:B)),"")</f>
        <v>Garantir o financiamento público e sustentável ao Sistema Único de Saúde, melhorando o padrão de gastos e qualificando o financiamento tripartite em saúde.</v>
      </c>
      <c r="C314" s="2" t="s">
        <v>28</v>
      </c>
      <c r="D314" t="str">
        <f>IFERROR((_xlfn.XLOOKUP(C314,Objetivo!C:C,Objetivo!D:D)), "")</f>
        <v>Garantir os investimentos em ações e serviços de saúde no Estado do Maranhão, ampliando o cofinanciamento, a captação de recursos e aumentando a eficiência, eficácia e efetividade da execução orçamentária e financeira</v>
      </c>
      <c r="E314" s="20" t="s">
        <v>29</v>
      </c>
      <c r="F314" s="19" t="str">
        <f>IFERROR(_xlfn.XLOOKUP(E314,#REF!,#REF!), "")</f>
        <v/>
      </c>
      <c r="G314" s="20" t="s">
        <v>712</v>
      </c>
      <c r="H314" t="s">
        <v>431</v>
      </c>
      <c r="I314" s="6" t="s">
        <v>718</v>
      </c>
      <c r="J314" s="6" t="s">
        <v>751</v>
      </c>
      <c r="K314" s="6">
        <v>3</v>
      </c>
    </row>
    <row r="315" spans="1:11" x14ac:dyDescent="0.25">
      <c r="A315" s="2">
        <v>4</v>
      </c>
      <c r="B315" t="str">
        <f>IFERROR((_xlfn.XLOOKUP(A315,Diretriz!A:A,Diretriz!B:B)),"")</f>
        <v>Garantir o financiamento público e sustentável ao Sistema Único de Saúde, melhorando o padrão de gastos e qualificando o financiamento tripartite em saúde.</v>
      </c>
      <c r="C315" s="2" t="s">
        <v>28</v>
      </c>
      <c r="D315" t="str">
        <f>IFERROR((_xlfn.XLOOKUP(C315,Objetivo!C:C,Objetivo!D:D)), "")</f>
        <v>Garantir os investimentos em ações e serviços de saúde no Estado do Maranhão, ampliando o cofinanciamento, a captação de recursos e aumentando a eficiência, eficácia e efetividade da execução orçamentária e financeira</v>
      </c>
      <c r="E315" s="20" t="s">
        <v>30</v>
      </c>
      <c r="F315" s="19" t="str">
        <f>IFERROR(_xlfn.XLOOKUP(E315,#REF!,#REF!), "")</f>
        <v/>
      </c>
      <c r="G315" s="20" t="s">
        <v>713</v>
      </c>
      <c r="H315" t="s">
        <v>432</v>
      </c>
      <c r="I315" s="6" t="s">
        <v>718</v>
      </c>
      <c r="J315" s="6" t="s">
        <v>751</v>
      </c>
      <c r="K315" s="6">
        <v>217</v>
      </c>
    </row>
    <row r="316" spans="1:11" x14ac:dyDescent="0.25">
      <c r="A316" s="2">
        <v>4</v>
      </c>
      <c r="B316" t="str">
        <f>IFERROR((_xlfn.XLOOKUP(A316,Diretriz!A:A,Diretriz!B:B)),"")</f>
        <v>Garantir o financiamento público e sustentável ao Sistema Único de Saúde, melhorando o padrão de gastos e qualificando o financiamento tripartite em saúde.</v>
      </c>
      <c r="C316" s="2" t="s">
        <v>28</v>
      </c>
      <c r="D316" t="str">
        <f>IFERROR((_xlfn.XLOOKUP(C316,Objetivo!C:C,Objetivo!D:D)), "")</f>
        <v>Garantir os investimentos em ações e serviços de saúde no Estado do Maranhão, ampliando o cofinanciamento, a captação de recursos e aumentando a eficiência, eficácia e efetividade da execução orçamentária e financeira</v>
      </c>
      <c r="E316" s="20" t="s">
        <v>31</v>
      </c>
      <c r="F316" s="19" t="str">
        <f>IFERROR(_xlfn.XLOOKUP(E316,#REF!,#REF!), "")</f>
        <v/>
      </c>
      <c r="G316" s="20" t="s">
        <v>714</v>
      </c>
      <c r="H316" t="s">
        <v>433</v>
      </c>
      <c r="I316" s="6" t="s">
        <v>831</v>
      </c>
      <c r="J316" s="6" t="s">
        <v>751</v>
      </c>
      <c r="K316" s="6">
        <v>2</v>
      </c>
    </row>
    <row r="317" spans="1:11" x14ac:dyDescent="0.25">
      <c r="A317" s="2">
        <v>4</v>
      </c>
      <c r="B317" t="str">
        <f>IFERROR((_xlfn.XLOOKUP(A317,Diretriz!A:A,Diretriz!B:B)),"")</f>
        <v>Garantir o financiamento público e sustentável ao Sistema Único de Saúde, melhorando o padrão de gastos e qualificando o financiamento tripartite em saúde.</v>
      </c>
      <c r="C317" s="2" t="s">
        <v>28</v>
      </c>
      <c r="D317" t="str">
        <f>IFERROR((_xlfn.XLOOKUP(C317,Objetivo!C:C,Objetivo!D:D)), "")</f>
        <v>Garantir os investimentos em ações e serviços de saúde no Estado do Maranhão, ampliando o cofinanciamento, a captação de recursos e aumentando a eficiência, eficácia e efetividade da execução orçamentária e financeira</v>
      </c>
      <c r="E317" s="20" t="s">
        <v>32</v>
      </c>
      <c r="F317" s="19" t="str">
        <f>IFERROR(_xlfn.XLOOKUP(E317,#REF!,#REF!), "")</f>
        <v/>
      </c>
      <c r="G317" s="20" t="s">
        <v>715</v>
      </c>
      <c r="H317" t="s">
        <v>434</v>
      </c>
      <c r="I317" s="6" t="s">
        <v>832</v>
      </c>
      <c r="J317" s="6" t="s">
        <v>751</v>
      </c>
      <c r="K317" s="6">
        <v>56</v>
      </c>
    </row>
    <row r="318" spans="1:11" x14ac:dyDescent="0.25">
      <c r="E318" s="20" t="s">
        <v>35</v>
      </c>
      <c r="F318" s="19" t="str">
        <f>IFERROR(_xlfn.XLOOKUP(E318,#REF!,#REF!), "")</f>
        <v/>
      </c>
      <c r="G318" s="20" t="s">
        <v>85</v>
      </c>
      <c r="H318" t="s">
        <v>86</v>
      </c>
      <c r="I318" s="6" t="s">
        <v>718</v>
      </c>
      <c r="J318" s="6" t="s">
        <v>751</v>
      </c>
      <c r="K318" s="6">
        <v>15</v>
      </c>
    </row>
    <row r="319" spans="1:11" x14ac:dyDescent="0.25">
      <c r="E319" s="20" t="s">
        <v>35</v>
      </c>
      <c r="F319" s="19" t="str">
        <f>IFERROR(_xlfn.XLOOKUP(E319,#REF!,#REF!), "")</f>
        <v/>
      </c>
      <c r="G319" s="20" t="s">
        <v>87</v>
      </c>
      <c r="H319" t="s">
        <v>88</v>
      </c>
      <c r="I319" s="6" t="s">
        <v>718</v>
      </c>
      <c r="J319" s="6" t="s">
        <v>751</v>
      </c>
      <c r="K319" s="6">
        <v>57</v>
      </c>
    </row>
    <row r="320" spans="1:11" x14ac:dyDescent="0.25">
      <c r="E320" s="20" t="s">
        <v>35</v>
      </c>
      <c r="F320" s="19" t="str">
        <f>IFERROR(_xlfn.XLOOKUP(E320,#REF!,#REF!), "")</f>
        <v/>
      </c>
      <c r="G320" s="20" t="s">
        <v>89</v>
      </c>
      <c r="H320" t="s">
        <v>90</v>
      </c>
      <c r="I320" s="6" t="s">
        <v>718</v>
      </c>
      <c r="J320" s="6" t="s">
        <v>751</v>
      </c>
      <c r="K320" s="6">
        <v>57</v>
      </c>
    </row>
    <row r="321" spans="5:11" x14ac:dyDescent="0.25">
      <c r="E321" s="20" t="s">
        <v>35</v>
      </c>
      <c r="F321" s="19" t="str">
        <f>IFERROR(_xlfn.XLOOKUP(E321,#REF!,#REF!), "")</f>
        <v/>
      </c>
      <c r="G321" s="20" t="s">
        <v>91</v>
      </c>
      <c r="H321" t="s">
        <v>92</v>
      </c>
      <c r="I321" s="6" t="s">
        <v>718</v>
      </c>
      <c r="J321" s="6" t="s">
        <v>751</v>
      </c>
      <c r="K321" s="6">
        <v>57</v>
      </c>
    </row>
    <row r="322" spans="5:11" x14ac:dyDescent="0.25">
      <c r="E322" s="20" t="s">
        <v>35</v>
      </c>
      <c r="F322" s="19" t="str">
        <f>IFERROR(_xlfn.XLOOKUP(E322,#REF!,#REF!), "")</f>
        <v/>
      </c>
      <c r="G322" s="20" t="s">
        <v>93</v>
      </c>
      <c r="H322" t="s">
        <v>94</v>
      </c>
      <c r="I322" s="6" t="s">
        <v>718</v>
      </c>
      <c r="J322" s="6" t="s">
        <v>751</v>
      </c>
      <c r="K322" s="6">
        <v>57</v>
      </c>
    </row>
    <row r="323" spans="5:11" x14ac:dyDescent="0.25">
      <c r="E323" s="20" t="s">
        <v>35</v>
      </c>
      <c r="F323" s="19" t="str">
        <f>IFERROR(_xlfn.XLOOKUP(E323,#REF!,#REF!), "")</f>
        <v/>
      </c>
      <c r="G323" s="20" t="s">
        <v>95</v>
      </c>
      <c r="H323" t="s">
        <v>96</v>
      </c>
      <c r="I323" s="6" t="s">
        <v>718</v>
      </c>
      <c r="J323" s="6" t="s">
        <v>751</v>
      </c>
      <c r="K323" s="6">
        <v>57</v>
      </c>
    </row>
    <row r="324" spans="5:11" x14ac:dyDescent="0.25">
      <c r="E324" s="20" t="s">
        <v>35</v>
      </c>
      <c r="F324" s="19" t="str">
        <f>IFERROR(_xlfn.XLOOKUP(E324,#REF!,#REF!), "")</f>
        <v/>
      </c>
      <c r="G324" s="20" t="s">
        <v>97</v>
      </c>
      <c r="H324" t="s">
        <v>98</v>
      </c>
      <c r="I324" s="6" t="s">
        <v>718</v>
      </c>
      <c r="J324" s="6" t="s">
        <v>751</v>
      </c>
      <c r="K324" s="6">
        <v>25</v>
      </c>
    </row>
    <row r="325" spans="5:11" x14ac:dyDescent="0.25">
      <c r="E325" s="20" t="s">
        <v>35</v>
      </c>
      <c r="F325" s="19" t="str">
        <f>IFERROR(_xlfn.XLOOKUP(E325,#REF!,#REF!), "")</f>
        <v/>
      </c>
      <c r="G325" s="20" t="s">
        <v>99</v>
      </c>
      <c r="H325" t="s">
        <v>100</v>
      </c>
      <c r="I325" s="6" t="s">
        <v>718</v>
      </c>
      <c r="J325" s="6" t="s">
        <v>751</v>
      </c>
      <c r="K325" s="6">
        <v>25</v>
      </c>
    </row>
    <row r="326" spans="5:11" x14ac:dyDescent="0.25">
      <c r="E326" s="20" t="s">
        <v>35</v>
      </c>
      <c r="F326" s="19" t="str">
        <f>IFERROR(_xlfn.XLOOKUP(E326,#REF!,#REF!), "")</f>
        <v/>
      </c>
      <c r="G326" s="20" t="s">
        <v>101</v>
      </c>
      <c r="H326" t="s">
        <v>102</v>
      </c>
      <c r="I326" s="6" t="s">
        <v>718</v>
      </c>
      <c r="J326" s="6" t="s">
        <v>751</v>
      </c>
      <c r="K326" s="6">
        <v>25</v>
      </c>
    </row>
    <row r="327" spans="5:11" x14ac:dyDescent="0.25">
      <c r="E327" s="20" t="s">
        <v>35</v>
      </c>
      <c r="F327" s="19" t="str">
        <f>IFERROR(_xlfn.XLOOKUP(E327,#REF!,#REF!), "")</f>
        <v/>
      </c>
      <c r="G327" s="20" t="s">
        <v>103</v>
      </c>
      <c r="H327" t="s">
        <v>104</v>
      </c>
      <c r="I327" s="6" t="s">
        <v>718</v>
      </c>
      <c r="J327" s="6" t="s">
        <v>751</v>
      </c>
      <c r="K327" s="6">
        <v>57</v>
      </c>
    </row>
    <row r="328" spans="5:11" x14ac:dyDescent="0.25">
      <c r="E328" s="20" t="s">
        <v>36</v>
      </c>
      <c r="F328" s="19" t="str">
        <f>IFERROR(_xlfn.XLOOKUP(E328,#REF!,#REF!), "")</f>
        <v/>
      </c>
      <c r="G328" s="20" t="s">
        <v>105</v>
      </c>
      <c r="H328" t="s">
        <v>106</v>
      </c>
      <c r="I328" s="6" t="s">
        <v>718</v>
      </c>
      <c r="J328" s="6" t="s">
        <v>751</v>
      </c>
      <c r="K328" s="6">
        <v>59</v>
      </c>
    </row>
    <row r="329" spans="5:11" x14ac:dyDescent="0.25">
      <c r="E329" s="20" t="s">
        <v>36</v>
      </c>
      <c r="F329" s="19" t="str">
        <f>IFERROR(_xlfn.XLOOKUP(E329,#REF!,#REF!), "")</f>
        <v/>
      </c>
      <c r="G329" s="20" t="s">
        <v>107</v>
      </c>
      <c r="H329" t="s">
        <v>108</v>
      </c>
      <c r="I329" s="6" t="s">
        <v>718</v>
      </c>
      <c r="J329" s="6" t="s">
        <v>751</v>
      </c>
      <c r="K329" s="6">
        <v>7</v>
      </c>
    </row>
    <row r="330" spans="5:11" x14ac:dyDescent="0.25">
      <c r="E330" s="20" t="s">
        <v>36</v>
      </c>
      <c r="F330" s="19" t="str">
        <f>IFERROR(_xlfn.XLOOKUP(E330,#REF!,#REF!), "")</f>
        <v/>
      </c>
      <c r="G330" s="20" t="s">
        <v>109</v>
      </c>
      <c r="H330" t="s">
        <v>110</v>
      </c>
      <c r="I330" s="6" t="s">
        <v>718</v>
      </c>
      <c r="J330" s="6" t="s">
        <v>751</v>
      </c>
      <c r="K330" s="6">
        <v>59</v>
      </c>
    </row>
    <row r="331" spans="5:11" x14ac:dyDescent="0.25">
      <c r="E331" s="20" t="s">
        <v>36</v>
      </c>
      <c r="F331" s="19" t="str">
        <f>IFERROR(_xlfn.XLOOKUP(E331,#REF!,#REF!), "")</f>
        <v/>
      </c>
      <c r="G331" s="20" t="s">
        <v>111</v>
      </c>
      <c r="H331" t="s">
        <v>112</v>
      </c>
      <c r="I331" s="6" t="s">
        <v>718</v>
      </c>
      <c r="J331" s="6" t="s">
        <v>751</v>
      </c>
      <c r="K331" s="6">
        <v>59</v>
      </c>
    </row>
    <row r="332" spans="5:11" x14ac:dyDescent="0.25">
      <c r="E332" s="20" t="s">
        <v>37</v>
      </c>
      <c r="F332" s="19" t="str">
        <f>IFERROR(_xlfn.XLOOKUP(E332,#REF!,#REF!), "")</f>
        <v/>
      </c>
      <c r="G332" s="20" t="s">
        <v>113</v>
      </c>
      <c r="H332" t="s">
        <v>114</v>
      </c>
      <c r="I332" s="6" t="s">
        <v>718</v>
      </c>
      <c r="J332" s="6" t="s">
        <v>751</v>
      </c>
      <c r="K332" s="6">
        <v>60</v>
      </c>
    </row>
    <row r="333" spans="5:11" x14ac:dyDescent="0.25">
      <c r="E333" s="20" t="s">
        <v>37</v>
      </c>
      <c r="F333" s="19" t="str">
        <f>IFERROR(_xlfn.XLOOKUP(E333,#REF!,#REF!), "")</f>
        <v/>
      </c>
      <c r="G333" s="20" t="s">
        <v>115</v>
      </c>
      <c r="H333" t="s">
        <v>116</v>
      </c>
      <c r="I333" s="6" t="s">
        <v>718</v>
      </c>
      <c r="J333" s="6" t="s">
        <v>751</v>
      </c>
      <c r="K333" s="6">
        <v>60</v>
      </c>
    </row>
    <row r="334" spans="5:11" x14ac:dyDescent="0.25">
      <c r="E334" s="20" t="s">
        <v>37</v>
      </c>
      <c r="F334" s="19" t="str">
        <f>IFERROR(_xlfn.XLOOKUP(E334,#REF!,#REF!), "")</f>
        <v/>
      </c>
      <c r="G334" s="20" t="s">
        <v>117</v>
      </c>
      <c r="H334" t="s">
        <v>118</v>
      </c>
      <c r="I334" s="6" t="s">
        <v>718</v>
      </c>
      <c r="J334" s="6" t="s">
        <v>751</v>
      </c>
      <c r="K334" s="6">
        <v>60</v>
      </c>
    </row>
    <row r="335" spans="5:11" x14ac:dyDescent="0.25">
      <c r="E335" s="20" t="s">
        <v>37</v>
      </c>
      <c r="F335" s="19" t="str">
        <f>IFERROR(_xlfn.XLOOKUP(E335,#REF!,#REF!), "")</f>
        <v/>
      </c>
      <c r="G335" s="20" t="s">
        <v>119</v>
      </c>
      <c r="H335" t="s">
        <v>120</v>
      </c>
      <c r="I335" s="6" t="s">
        <v>718</v>
      </c>
      <c r="J335" s="6" t="s">
        <v>751</v>
      </c>
      <c r="K335" s="6">
        <v>60</v>
      </c>
    </row>
    <row r="336" spans="5:11" x14ac:dyDescent="0.25">
      <c r="E336" s="20" t="s">
        <v>37</v>
      </c>
      <c r="F336" s="19" t="str">
        <f>IFERROR(_xlfn.XLOOKUP(E336,#REF!,#REF!), "")</f>
        <v/>
      </c>
      <c r="G336" s="20" t="s">
        <v>121</v>
      </c>
      <c r="H336" t="s">
        <v>122</v>
      </c>
      <c r="I336" s="6" t="s">
        <v>718</v>
      </c>
      <c r="J336" s="6" t="s">
        <v>751</v>
      </c>
      <c r="K336" s="6">
        <v>60</v>
      </c>
    </row>
    <row r="337" spans="5:11" x14ac:dyDescent="0.25">
      <c r="E337" s="20" t="s">
        <v>37</v>
      </c>
      <c r="F337" s="19" t="str">
        <f>IFERROR(_xlfn.XLOOKUP(E337,#REF!,#REF!), "")</f>
        <v/>
      </c>
      <c r="G337" s="20" t="s">
        <v>123</v>
      </c>
      <c r="H337" t="s">
        <v>124</v>
      </c>
      <c r="I337" s="6" t="s">
        <v>718</v>
      </c>
      <c r="J337" s="6" t="s">
        <v>751</v>
      </c>
      <c r="K337" s="6">
        <v>20</v>
      </c>
    </row>
    <row r="338" spans="5:11" x14ac:dyDescent="0.25">
      <c r="E338" s="20" t="s">
        <v>37</v>
      </c>
      <c r="F338" s="19" t="str">
        <f>IFERROR(_xlfn.XLOOKUP(E338,#REF!,#REF!), "")</f>
        <v/>
      </c>
      <c r="G338" s="20" t="s">
        <v>125</v>
      </c>
      <c r="H338" t="s">
        <v>126</v>
      </c>
      <c r="I338" s="6" t="s">
        <v>718</v>
      </c>
      <c r="J338" s="6" t="s">
        <v>751</v>
      </c>
      <c r="K338" s="6">
        <v>60</v>
      </c>
    </row>
    <row r="339" spans="5:11" x14ac:dyDescent="0.25">
      <c r="E339" s="20" t="s">
        <v>37</v>
      </c>
      <c r="F339" s="19" t="str">
        <f>IFERROR(_xlfn.XLOOKUP(E339,#REF!,#REF!), "")</f>
        <v/>
      </c>
      <c r="G339" s="20" t="s">
        <v>127</v>
      </c>
      <c r="H339" t="s">
        <v>128</v>
      </c>
      <c r="I339" s="6" t="s">
        <v>718</v>
      </c>
      <c r="J339" s="6" t="s">
        <v>751</v>
      </c>
      <c r="K339" s="6">
        <v>60</v>
      </c>
    </row>
    <row r="340" spans="5:11" x14ac:dyDescent="0.25">
      <c r="E340" s="20" t="s">
        <v>38</v>
      </c>
      <c r="F340" s="19" t="str">
        <f>IFERROR(_xlfn.XLOOKUP(E340,#REF!,#REF!), "")</f>
        <v/>
      </c>
      <c r="G340" s="20" t="s">
        <v>129</v>
      </c>
      <c r="H340" t="s">
        <v>130</v>
      </c>
      <c r="I340" s="6" t="s">
        <v>719</v>
      </c>
      <c r="J340" s="6" t="s">
        <v>751</v>
      </c>
      <c r="K340" s="6">
        <v>47</v>
      </c>
    </row>
    <row r="341" spans="5:11" x14ac:dyDescent="0.25">
      <c r="E341" s="20" t="s">
        <v>38</v>
      </c>
      <c r="F341" s="19" t="str">
        <f>IFERROR(_xlfn.XLOOKUP(E341,#REF!,#REF!), "")</f>
        <v/>
      </c>
      <c r="G341" s="20" t="s">
        <v>131</v>
      </c>
      <c r="H341" t="s">
        <v>132</v>
      </c>
      <c r="I341" s="6" t="s">
        <v>719</v>
      </c>
      <c r="J341" s="6" t="s">
        <v>751</v>
      </c>
      <c r="K341" s="6">
        <v>47</v>
      </c>
    </row>
    <row r="342" spans="5:11" x14ac:dyDescent="0.25">
      <c r="E342" s="20" t="s">
        <v>38</v>
      </c>
      <c r="F342" s="19" t="str">
        <f>IFERROR(_xlfn.XLOOKUP(E342,#REF!,#REF!), "")</f>
        <v/>
      </c>
      <c r="G342" s="20" t="s">
        <v>133</v>
      </c>
      <c r="H342" t="s">
        <v>134</v>
      </c>
      <c r="I342" s="6" t="s">
        <v>719</v>
      </c>
      <c r="J342" s="6" t="s">
        <v>751</v>
      </c>
      <c r="K342" s="6">
        <v>47</v>
      </c>
    </row>
    <row r="343" spans="5:11" x14ac:dyDescent="0.25">
      <c r="E343" s="20" t="s">
        <v>39</v>
      </c>
      <c r="F343" s="19" t="str">
        <f>IFERROR(_xlfn.XLOOKUP(E343,#REF!,#REF!), "")</f>
        <v/>
      </c>
      <c r="G343" s="20" t="s">
        <v>135</v>
      </c>
      <c r="H343" t="s">
        <v>136</v>
      </c>
      <c r="I343" s="6" t="s">
        <v>718</v>
      </c>
      <c r="J343" s="6" t="s">
        <v>751</v>
      </c>
      <c r="K343" s="6">
        <v>53</v>
      </c>
    </row>
    <row r="344" spans="5:11" x14ac:dyDescent="0.25">
      <c r="E344" s="20" t="s">
        <v>39</v>
      </c>
      <c r="F344" s="19" t="str">
        <f>IFERROR(_xlfn.XLOOKUP(E344,#REF!,#REF!), "")</f>
        <v/>
      </c>
      <c r="G344" s="20" t="s">
        <v>137</v>
      </c>
      <c r="H344" t="s">
        <v>138</v>
      </c>
      <c r="I344" s="6" t="s">
        <v>718</v>
      </c>
      <c r="J344" s="6" t="s">
        <v>751</v>
      </c>
      <c r="K344" s="6">
        <v>53</v>
      </c>
    </row>
    <row r="345" spans="5:11" x14ac:dyDescent="0.25">
      <c r="E345" s="20" t="s">
        <v>39</v>
      </c>
      <c r="F345" s="19" t="str">
        <f>IFERROR(_xlfn.XLOOKUP(E345,#REF!,#REF!), "")</f>
        <v/>
      </c>
      <c r="G345" s="20" t="s">
        <v>139</v>
      </c>
      <c r="H345" t="s">
        <v>140</v>
      </c>
      <c r="I345" s="6" t="s">
        <v>718</v>
      </c>
      <c r="J345" s="6" t="s">
        <v>751</v>
      </c>
      <c r="K345" s="6">
        <v>53</v>
      </c>
    </row>
    <row r="346" spans="5:11" x14ac:dyDescent="0.25">
      <c r="E346" s="20" t="s">
        <v>39</v>
      </c>
      <c r="F346" s="19" t="str">
        <f>IFERROR(_xlfn.XLOOKUP(E346,#REF!,#REF!), "")</f>
        <v/>
      </c>
      <c r="G346" s="20" t="s">
        <v>141</v>
      </c>
      <c r="H346" t="s">
        <v>142</v>
      </c>
      <c r="I346" s="6" t="s">
        <v>718</v>
      </c>
      <c r="J346" s="6" t="s">
        <v>751</v>
      </c>
      <c r="K346" s="6">
        <v>10</v>
      </c>
    </row>
    <row r="347" spans="5:11" x14ac:dyDescent="0.25">
      <c r="E347" s="20" t="s">
        <v>39</v>
      </c>
      <c r="F347" s="19" t="str">
        <f>IFERROR(_xlfn.XLOOKUP(E347,#REF!,#REF!), "")</f>
        <v/>
      </c>
      <c r="G347" s="20" t="s">
        <v>143</v>
      </c>
      <c r="H347" t="s">
        <v>144</v>
      </c>
      <c r="I347" s="6" t="s">
        <v>718</v>
      </c>
      <c r="J347" s="6" t="s">
        <v>751</v>
      </c>
      <c r="K347" s="6">
        <v>10</v>
      </c>
    </row>
    <row r="348" spans="5:11" x14ac:dyDescent="0.25">
      <c r="E348" s="20" t="s">
        <v>39</v>
      </c>
      <c r="F348" s="19" t="str">
        <f>IFERROR(_xlfn.XLOOKUP(E348,#REF!,#REF!), "")</f>
        <v/>
      </c>
      <c r="G348" s="20" t="s">
        <v>145</v>
      </c>
      <c r="H348" t="s">
        <v>146</v>
      </c>
      <c r="I348" s="6" t="s">
        <v>718</v>
      </c>
      <c r="J348" s="6" t="s">
        <v>751</v>
      </c>
      <c r="K348" s="6">
        <v>53</v>
      </c>
    </row>
    <row r="349" spans="5:11" x14ac:dyDescent="0.25">
      <c r="E349" s="20" t="s">
        <v>39</v>
      </c>
      <c r="F349" s="19" t="str">
        <f>IFERROR(_xlfn.XLOOKUP(E349,#REF!,#REF!), "")</f>
        <v/>
      </c>
      <c r="G349" s="20" t="s">
        <v>147</v>
      </c>
      <c r="H349" t="s">
        <v>148</v>
      </c>
      <c r="I349" s="6" t="s">
        <v>720</v>
      </c>
      <c r="J349" s="6" t="s">
        <v>751</v>
      </c>
      <c r="K349" s="6">
        <v>19</v>
      </c>
    </row>
    <row r="350" spans="5:11" x14ac:dyDescent="0.25">
      <c r="E350" s="20" t="s">
        <v>39</v>
      </c>
      <c r="F350" s="19" t="str">
        <f>IFERROR(_xlfn.XLOOKUP(E350,#REF!,#REF!), "")</f>
        <v/>
      </c>
      <c r="G350" s="20" t="s">
        <v>149</v>
      </c>
      <c r="H350" t="s">
        <v>150</v>
      </c>
      <c r="I350" s="6" t="s">
        <v>718</v>
      </c>
      <c r="J350" s="6" t="s">
        <v>751</v>
      </c>
      <c r="K350" s="6">
        <v>53</v>
      </c>
    </row>
    <row r="351" spans="5:11" x14ac:dyDescent="0.25">
      <c r="E351" s="20" t="s">
        <v>40</v>
      </c>
      <c r="F351" s="19" t="str">
        <f>IFERROR(_xlfn.XLOOKUP(E351,#REF!,#REF!), "")</f>
        <v/>
      </c>
      <c r="G351" s="20" t="s">
        <v>151</v>
      </c>
      <c r="H351" t="s">
        <v>159</v>
      </c>
      <c r="I351" s="6" t="s">
        <v>718</v>
      </c>
      <c r="J351" s="6" t="s">
        <v>751</v>
      </c>
      <c r="K351" s="6">
        <v>10</v>
      </c>
    </row>
    <row r="352" spans="5:11" x14ac:dyDescent="0.25">
      <c r="E352" s="20" t="s">
        <v>40</v>
      </c>
      <c r="F352" s="19" t="str">
        <f>IFERROR(_xlfn.XLOOKUP(E352,#REF!,#REF!), "")</f>
        <v/>
      </c>
      <c r="G352" s="20" t="s">
        <v>435</v>
      </c>
      <c r="H352" t="s">
        <v>152</v>
      </c>
      <c r="I352" s="6" t="s">
        <v>718</v>
      </c>
      <c r="J352" s="6" t="s">
        <v>751</v>
      </c>
      <c r="K352" s="6">
        <v>4</v>
      </c>
    </row>
    <row r="353" spans="5:11" x14ac:dyDescent="0.25">
      <c r="E353" s="20" t="s">
        <v>40</v>
      </c>
      <c r="F353" s="19" t="str">
        <f>IFERROR(_xlfn.XLOOKUP(E353,#REF!,#REF!), "")</f>
        <v/>
      </c>
      <c r="G353" s="20" t="s">
        <v>436</v>
      </c>
      <c r="H353" t="s">
        <v>153</v>
      </c>
      <c r="I353" s="6" t="s">
        <v>718</v>
      </c>
      <c r="J353" s="6" t="s">
        <v>751</v>
      </c>
      <c r="K353" s="6">
        <v>45</v>
      </c>
    </row>
    <row r="354" spans="5:11" x14ac:dyDescent="0.25">
      <c r="E354" s="20" t="s">
        <v>40</v>
      </c>
      <c r="F354" s="19" t="str">
        <f>IFERROR(_xlfn.XLOOKUP(E354,#REF!,#REF!), "")</f>
        <v/>
      </c>
      <c r="G354" s="20" t="s">
        <v>437</v>
      </c>
      <c r="H354" t="s">
        <v>154</v>
      </c>
      <c r="I354" s="6" t="s">
        <v>718</v>
      </c>
      <c r="J354" s="6" t="s">
        <v>751</v>
      </c>
      <c r="K354" s="6">
        <v>12</v>
      </c>
    </row>
    <row r="355" spans="5:11" x14ac:dyDescent="0.25">
      <c r="E355" s="20" t="s">
        <v>40</v>
      </c>
      <c r="F355" s="19" t="str">
        <f>IFERROR(_xlfn.XLOOKUP(E355,#REF!,#REF!), "")</f>
        <v/>
      </c>
      <c r="G355" s="20" t="s">
        <v>438</v>
      </c>
      <c r="H355" t="s">
        <v>155</v>
      </c>
      <c r="I355" s="6" t="s">
        <v>718</v>
      </c>
      <c r="J355" s="6" t="s">
        <v>751</v>
      </c>
      <c r="K355" s="6">
        <v>20</v>
      </c>
    </row>
    <row r="356" spans="5:11" x14ac:dyDescent="0.25">
      <c r="E356" s="20" t="s">
        <v>40</v>
      </c>
      <c r="F356" s="19" t="str">
        <f>IFERROR(_xlfn.XLOOKUP(E356,#REF!,#REF!), "")</f>
        <v/>
      </c>
      <c r="G356" s="20" t="s">
        <v>439</v>
      </c>
      <c r="H356" t="s">
        <v>156</v>
      </c>
      <c r="I356" s="6" t="s">
        <v>718</v>
      </c>
      <c r="J356" s="6" t="s">
        <v>751</v>
      </c>
      <c r="K356" s="6">
        <v>10</v>
      </c>
    </row>
    <row r="357" spans="5:11" x14ac:dyDescent="0.25">
      <c r="E357" s="20" t="s">
        <v>40</v>
      </c>
      <c r="F357" s="19" t="str">
        <f>IFERROR(_xlfn.XLOOKUP(E357,#REF!,#REF!), "")</f>
        <v/>
      </c>
      <c r="G357" s="20" t="s">
        <v>440</v>
      </c>
      <c r="H357" t="s">
        <v>157</v>
      </c>
      <c r="I357" s="6" t="s">
        <v>718</v>
      </c>
      <c r="J357" s="6" t="s">
        <v>751</v>
      </c>
      <c r="K357" s="6">
        <v>45</v>
      </c>
    </row>
    <row r="358" spans="5:11" x14ac:dyDescent="0.25">
      <c r="E358" s="20" t="s">
        <v>40</v>
      </c>
      <c r="F358" s="19" t="str">
        <f>IFERROR(_xlfn.XLOOKUP(E358,#REF!,#REF!), "")</f>
        <v/>
      </c>
      <c r="G358" s="20" t="s">
        <v>441</v>
      </c>
      <c r="H358" t="s">
        <v>158</v>
      </c>
      <c r="I358" s="6" t="s">
        <v>718</v>
      </c>
      <c r="J358" s="6" t="s">
        <v>751</v>
      </c>
      <c r="K358" s="6">
        <v>10</v>
      </c>
    </row>
    <row r="359" spans="5:11" x14ac:dyDescent="0.25">
      <c r="E359" s="20" t="s">
        <v>41</v>
      </c>
      <c r="F359" s="19" t="str">
        <f>IFERROR(_xlfn.XLOOKUP(E359,#REF!,#REF!), "")</f>
        <v/>
      </c>
      <c r="G359" s="20" t="s">
        <v>442</v>
      </c>
      <c r="H359" t="s">
        <v>160</v>
      </c>
      <c r="I359" s="6" t="s">
        <v>718</v>
      </c>
      <c r="J359" s="6" t="s">
        <v>751</v>
      </c>
      <c r="K359" s="6">
        <v>58</v>
      </c>
    </row>
    <row r="360" spans="5:11" x14ac:dyDescent="0.25">
      <c r="E360" s="20" t="s">
        <v>41</v>
      </c>
      <c r="F360" s="19" t="str">
        <f>IFERROR(_xlfn.XLOOKUP(E360,#REF!,#REF!), "")</f>
        <v/>
      </c>
      <c r="G360" s="20" t="s">
        <v>443</v>
      </c>
      <c r="H360" t="s">
        <v>161</v>
      </c>
      <c r="I360" s="6" t="s">
        <v>718</v>
      </c>
      <c r="J360" s="6" t="s">
        <v>751</v>
      </c>
      <c r="K360" s="6">
        <v>58</v>
      </c>
    </row>
    <row r="361" spans="5:11" x14ac:dyDescent="0.25">
      <c r="E361" s="20" t="s">
        <v>41</v>
      </c>
      <c r="F361" s="19" t="str">
        <f>IFERROR(_xlfn.XLOOKUP(E361,#REF!,#REF!), "")</f>
        <v/>
      </c>
      <c r="G361" s="20" t="s">
        <v>444</v>
      </c>
      <c r="H361" t="s">
        <v>162</v>
      </c>
      <c r="I361" s="6" t="s">
        <v>718</v>
      </c>
      <c r="J361" s="6" t="s">
        <v>751</v>
      </c>
      <c r="K361" s="6">
        <v>58</v>
      </c>
    </row>
    <row r="362" spans="5:11" x14ac:dyDescent="0.25">
      <c r="E362" s="20" t="s">
        <v>41</v>
      </c>
      <c r="F362" s="19" t="str">
        <f>IFERROR(_xlfn.XLOOKUP(E362,#REF!,#REF!), "")</f>
        <v/>
      </c>
      <c r="G362" s="20" t="s">
        <v>445</v>
      </c>
      <c r="H362" t="s">
        <v>163</v>
      </c>
      <c r="I362" s="6" t="s">
        <v>721</v>
      </c>
      <c r="J362" s="6" t="s">
        <v>751</v>
      </c>
      <c r="K362" s="6">
        <v>5</v>
      </c>
    </row>
    <row r="363" spans="5:11" x14ac:dyDescent="0.25">
      <c r="E363" s="20" t="s">
        <v>42</v>
      </c>
      <c r="F363" s="19" t="str">
        <f>IFERROR(_xlfn.XLOOKUP(E363,#REF!,#REF!), "")</f>
        <v/>
      </c>
      <c r="G363" s="20" t="s">
        <v>446</v>
      </c>
      <c r="H363" t="s">
        <v>164</v>
      </c>
      <c r="I363" s="6" t="s">
        <v>721</v>
      </c>
      <c r="J363" s="6" t="s">
        <v>751</v>
      </c>
      <c r="K363" s="6">
        <v>5</v>
      </c>
    </row>
    <row r="364" spans="5:11" x14ac:dyDescent="0.25">
      <c r="E364" s="20" t="s">
        <v>42</v>
      </c>
      <c r="F364" s="19" t="str">
        <f>IFERROR(_xlfn.XLOOKUP(E364,#REF!,#REF!), "")</f>
        <v/>
      </c>
      <c r="G364" s="20" t="s">
        <v>447</v>
      </c>
      <c r="H364" t="s">
        <v>165</v>
      </c>
      <c r="I364" s="6" t="s">
        <v>721</v>
      </c>
      <c r="J364" s="6" t="s">
        <v>751</v>
      </c>
      <c r="K364" s="6">
        <v>57</v>
      </c>
    </row>
    <row r="365" spans="5:11" x14ac:dyDescent="0.25">
      <c r="E365" s="20" t="s">
        <v>42</v>
      </c>
      <c r="F365" s="19" t="str">
        <f>IFERROR(_xlfn.XLOOKUP(E365,#REF!,#REF!), "")</f>
        <v/>
      </c>
      <c r="G365" s="20" t="s">
        <v>448</v>
      </c>
      <c r="H365" t="s">
        <v>166</v>
      </c>
      <c r="I365" s="6" t="s">
        <v>721</v>
      </c>
      <c r="J365" s="6" t="s">
        <v>751</v>
      </c>
      <c r="K365" s="6">
        <v>57</v>
      </c>
    </row>
    <row r="366" spans="5:11" x14ac:dyDescent="0.25">
      <c r="E366" s="20" t="s">
        <v>42</v>
      </c>
      <c r="F366" s="19" t="str">
        <f>IFERROR(_xlfn.XLOOKUP(E366,#REF!,#REF!), "")</f>
        <v/>
      </c>
      <c r="G366" s="20" t="s">
        <v>449</v>
      </c>
      <c r="H366" t="s">
        <v>167</v>
      </c>
      <c r="I366" s="6" t="s">
        <v>721</v>
      </c>
      <c r="J366" s="6" t="s">
        <v>751</v>
      </c>
      <c r="K366" s="6">
        <v>57</v>
      </c>
    </row>
    <row r="367" spans="5:11" x14ac:dyDescent="0.25">
      <c r="E367" s="20" t="s">
        <v>42</v>
      </c>
      <c r="F367" s="19" t="str">
        <f>IFERROR(_xlfn.XLOOKUP(E367,#REF!,#REF!), "")</f>
        <v/>
      </c>
      <c r="G367" s="20" t="s">
        <v>450</v>
      </c>
      <c r="H367" t="s">
        <v>168</v>
      </c>
      <c r="I367" s="6" t="s">
        <v>721</v>
      </c>
      <c r="J367" s="6" t="s">
        <v>751</v>
      </c>
      <c r="K367" s="6">
        <v>57</v>
      </c>
    </row>
    <row r="368" spans="5:11" x14ac:dyDescent="0.25">
      <c r="E368" s="20" t="s">
        <v>42</v>
      </c>
      <c r="F368" s="19" t="str">
        <f>IFERROR(_xlfn.XLOOKUP(E368,#REF!,#REF!), "")</f>
        <v/>
      </c>
      <c r="G368" s="20" t="s">
        <v>446</v>
      </c>
      <c r="H368" t="s">
        <v>169</v>
      </c>
      <c r="I368" s="6" t="s">
        <v>721</v>
      </c>
      <c r="J368" s="6" t="s">
        <v>751</v>
      </c>
      <c r="K368" s="6">
        <v>57</v>
      </c>
    </row>
    <row r="369" spans="5:11" x14ac:dyDescent="0.25">
      <c r="E369" s="20" t="s">
        <v>42</v>
      </c>
      <c r="F369" s="19" t="str">
        <f>IFERROR(_xlfn.XLOOKUP(E369,#REF!,#REF!), "")</f>
        <v/>
      </c>
      <c r="G369" s="20" t="s">
        <v>451</v>
      </c>
      <c r="H369" t="s">
        <v>170</v>
      </c>
      <c r="I369" s="6" t="s">
        <v>721</v>
      </c>
      <c r="J369" s="6" t="s">
        <v>751</v>
      </c>
      <c r="K369" s="6">
        <v>57</v>
      </c>
    </row>
    <row r="370" spans="5:11" x14ac:dyDescent="0.25">
      <c r="E370" s="20" t="s">
        <v>43</v>
      </c>
      <c r="F370" s="19" t="str">
        <f>IFERROR(_xlfn.XLOOKUP(E370,#REF!,#REF!), "")</f>
        <v/>
      </c>
      <c r="G370" s="20" t="s">
        <v>452</v>
      </c>
      <c r="H370" t="s">
        <v>171</v>
      </c>
      <c r="I370" s="6" t="s">
        <v>722</v>
      </c>
      <c r="J370" s="6" t="s">
        <v>751</v>
      </c>
      <c r="K370" s="6">
        <v>19</v>
      </c>
    </row>
    <row r="371" spans="5:11" x14ac:dyDescent="0.25">
      <c r="E371" s="20" t="s">
        <v>43</v>
      </c>
      <c r="F371" s="19" t="str">
        <f>IFERROR(_xlfn.XLOOKUP(E371,#REF!,#REF!), "")</f>
        <v/>
      </c>
      <c r="G371" s="20" t="s">
        <v>453</v>
      </c>
      <c r="H371" t="s">
        <v>172</v>
      </c>
      <c r="I371" s="6" t="s">
        <v>718</v>
      </c>
      <c r="J371" s="6" t="s">
        <v>751</v>
      </c>
      <c r="K371" s="6">
        <v>217</v>
      </c>
    </row>
    <row r="372" spans="5:11" x14ac:dyDescent="0.25">
      <c r="E372" s="20" t="s">
        <v>43</v>
      </c>
      <c r="F372" s="19" t="str">
        <f>IFERROR(_xlfn.XLOOKUP(E372,#REF!,#REF!), "")</f>
        <v/>
      </c>
      <c r="G372" s="20" t="s">
        <v>454</v>
      </c>
      <c r="H372" t="s">
        <v>173</v>
      </c>
      <c r="I372" s="6" t="s">
        <v>718</v>
      </c>
      <c r="J372" s="6" t="s">
        <v>751</v>
      </c>
      <c r="K372" s="6">
        <v>55</v>
      </c>
    </row>
    <row r="373" spans="5:11" x14ac:dyDescent="0.25">
      <c r="E373" s="20" t="s">
        <v>43</v>
      </c>
      <c r="F373" s="19" t="str">
        <f>IFERROR(_xlfn.XLOOKUP(E373,#REF!,#REF!), "")</f>
        <v/>
      </c>
      <c r="G373" s="20" t="s">
        <v>455</v>
      </c>
      <c r="H373" t="s">
        <v>174</v>
      </c>
      <c r="I373" s="6" t="s">
        <v>718</v>
      </c>
      <c r="J373" s="6" t="s">
        <v>751</v>
      </c>
      <c r="K373" s="6">
        <v>55</v>
      </c>
    </row>
    <row r="374" spans="5:11" x14ac:dyDescent="0.25">
      <c r="E374" s="20" t="s">
        <v>43</v>
      </c>
      <c r="F374" s="19" t="str">
        <f>IFERROR(_xlfn.XLOOKUP(E374,#REF!,#REF!), "")</f>
        <v/>
      </c>
      <c r="G374" s="20" t="s">
        <v>456</v>
      </c>
      <c r="H374" t="s">
        <v>175</v>
      </c>
      <c r="I374" s="6" t="s">
        <v>718</v>
      </c>
      <c r="J374" s="6" t="s">
        <v>751</v>
      </c>
      <c r="K374" s="6">
        <v>100</v>
      </c>
    </row>
    <row r="375" spans="5:11" x14ac:dyDescent="0.25">
      <c r="E375" s="20" t="s">
        <v>44</v>
      </c>
      <c r="F375" s="19" t="str">
        <f>IFERROR(_xlfn.XLOOKUP(E375,#REF!,#REF!), "")</f>
        <v/>
      </c>
      <c r="G375" s="20" t="s">
        <v>457</v>
      </c>
      <c r="H375" t="s">
        <v>176</v>
      </c>
      <c r="I375" s="6" t="s">
        <v>718</v>
      </c>
      <c r="J375" s="6" t="s">
        <v>751</v>
      </c>
      <c r="K375" s="6">
        <v>50</v>
      </c>
    </row>
    <row r="376" spans="5:11" x14ac:dyDescent="0.25">
      <c r="E376" s="20" t="s">
        <v>44</v>
      </c>
      <c r="F376" s="19" t="str">
        <f>IFERROR(_xlfn.XLOOKUP(E376,#REF!,#REF!), "")</f>
        <v/>
      </c>
      <c r="G376" s="20" t="s">
        <v>458</v>
      </c>
      <c r="H376" t="s">
        <v>177</v>
      </c>
      <c r="I376" s="6" t="s">
        <v>718</v>
      </c>
      <c r="J376" s="6" t="s">
        <v>751</v>
      </c>
      <c r="K376" s="6">
        <v>50</v>
      </c>
    </row>
    <row r="377" spans="5:11" x14ac:dyDescent="0.25">
      <c r="E377" s="20" t="s">
        <v>44</v>
      </c>
      <c r="F377" s="19" t="str">
        <f>IFERROR(_xlfn.XLOOKUP(E377,#REF!,#REF!), "")</f>
        <v/>
      </c>
      <c r="G377" s="20" t="s">
        <v>459</v>
      </c>
      <c r="H377" t="s">
        <v>178</v>
      </c>
      <c r="I377" s="6" t="s">
        <v>718</v>
      </c>
      <c r="J377" s="6" t="s">
        <v>751</v>
      </c>
      <c r="K377" s="6">
        <v>35</v>
      </c>
    </row>
    <row r="378" spans="5:11" x14ac:dyDescent="0.25">
      <c r="E378" s="20" t="s">
        <v>45</v>
      </c>
      <c r="F378" s="19" t="str">
        <f>IFERROR(_xlfn.XLOOKUP(E378,#REF!,#REF!), "")</f>
        <v/>
      </c>
      <c r="G378" s="20" t="s">
        <v>460</v>
      </c>
      <c r="H378" t="s">
        <v>179</v>
      </c>
      <c r="I378" t="s">
        <v>971</v>
      </c>
      <c r="J378" t="s">
        <v>971</v>
      </c>
      <c r="K378" t="s">
        <v>971</v>
      </c>
    </row>
    <row r="379" spans="5:11" x14ac:dyDescent="0.25">
      <c r="E379" s="20" t="s">
        <v>45</v>
      </c>
      <c r="F379" s="19" t="str">
        <f>IFERROR(_xlfn.XLOOKUP(E379,#REF!,#REF!), "")</f>
        <v/>
      </c>
      <c r="G379" s="20" t="s">
        <v>461</v>
      </c>
      <c r="H379" t="s">
        <v>180</v>
      </c>
      <c r="I379" t="s">
        <v>971</v>
      </c>
      <c r="J379" t="s">
        <v>971</v>
      </c>
      <c r="K379" t="s">
        <v>971</v>
      </c>
    </row>
    <row r="380" spans="5:11" x14ac:dyDescent="0.25">
      <c r="E380" s="20" t="s">
        <v>45</v>
      </c>
      <c r="F380" s="19" t="str">
        <f>IFERROR(_xlfn.XLOOKUP(E380,#REF!,#REF!), "")</f>
        <v/>
      </c>
      <c r="G380" s="20" t="s">
        <v>462</v>
      </c>
      <c r="H380" t="s">
        <v>181</v>
      </c>
      <c r="I380" t="s">
        <v>971</v>
      </c>
      <c r="J380" t="s">
        <v>971</v>
      </c>
      <c r="K380" t="s">
        <v>971</v>
      </c>
    </row>
    <row r="381" spans="5:11" x14ac:dyDescent="0.25">
      <c r="E381" s="20" t="s">
        <v>45</v>
      </c>
      <c r="F381" s="19" t="str">
        <f>IFERROR(_xlfn.XLOOKUP(E381,#REF!,#REF!), "")</f>
        <v/>
      </c>
      <c r="G381" s="20" t="s">
        <v>463</v>
      </c>
      <c r="H381" t="s">
        <v>182</v>
      </c>
      <c r="I381" t="s">
        <v>971</v>
      </c>
      <c r="J381" t="s">
        <v>971</v>
      </c>
      <c r="K381" t="s">
        <v>971</v>
      </c>
    </row>
    <row r="382" spans="5:11" x14ac:dyDescent="0.25">
      <c r="E382" s="20" t="s">
        <v>46</v>
      </c>
      <c r="F382" s="19" t="str">
        <f>IFERROR(_xlfn.XLOOKUP(E382,#REF!,#REF!), "")</f>
        <v/>
      </c>
      <c r="G382" s="20" t="s">
        <v>464</v>
      </c>
      <c r="H382" t="s">
        <v>183</v>
      </c>
      <c r="I382" s="6" t="s">
        <v>718</v>
      </c>
      <c r="J382" s="6" t="s">
        <v>751</v>
      </c>
      <c r="K382" s="6">
        <v>57</v>
      </c>
    </row>
    <row r="383" spans="5:11" x14ac:dyDescent="0.25">
      <c r="E383" s="20" t="s">
        <v>46</v>
      </c>
      <c r="F383" s="19" t="str">
        <f>IFERROR(_xlfn.XLOOKUP(E383,#REF!,#REF!), "")</f>
        <v/>
      </c>
      <c r="G383" s="20" t="s">
        <v>465</v>
      </c>
      <c r="H383" t="s">
        <v>184</v>
      </c>
      <c r="I383" s="6" t="s">
        <v>718</v>
      </c>
      <c r="J383" s="6" t="s">
        <v>751</v>
      </c>
      <c r="K383" s="6">
        <v>57</v>
      </c>
    </row>
    <row r="384" spans="5:11" x14ac:dyDescent="0.25">
      <c r="E384" s="20" t="s">
        <v>46</v>
      </c>
      <c r="F384" s="19" t="str">
        <f>IFERROR(_xlfn.XLOOKUP(E384,#REF!,#REF!), "")</f>
        <v/>
      </c>
      <c r="G384" s="20" t="s">
        <v>466</v>
      </c>
      <c r="H384" t="s">
        <v>185</v>
      </c>
      <c r="I384" s="6" t="s">
        <v>718</v>
      </c>
      <c r="J384" s="6" t="s">
        <v>751</v>
      </c>
      <c r="K384" s="6">
        <v>57</v>
      </c>
    </row>
    <row r="385" spans="5:11" x14ac:dyDescent="0.25">
      <c r="E385" s="20" t="s">
        <v>47</v>
      </c>
      <c r="F385" s="19" t="str">
        <f>IFERROR(_xlfn.XLOOKUP(E385,#REF!,#REF!), "")</f>
        <v/>
      </c>
      <c r="G385" s="20" t="s">
        <v>467</v>
      </c>
      <c r="H385" t="s">
        <v>186</v>
      </c>
      <c r="I385" s="6" t="s">
        <v>718</v>
      </c>
      <c r="J385" s="6" t="s">
        <v>751</v>
      </c>
      <c r="K385" s="6">
        <v>217</v>
      </c>
    </row>
    <row r="386" spans="5:11" x14ac:dyDescent="0.25">
      <c r="E386" s="20" t="s">
        <v>47</v>
      </c>
      <c r="F386" s="19" t="str">
        <f>IFERROR(_xlfn.XLOOKUP(E386,#REF!,#REF!), "")</f>
        <v/>
      </c>
      <c r="G386" s="20" t="s">
        <v>468</v>
      </c>
      <c r="H386" t="s">
        <v>187</v>
      </c>
      <c r="I386" s="6" t="s">
        <v>718</v>
      </c>
      <c r="J386" s="6" t="s">
        <v>751</v>
      </c>
      <c r="K386" s="6">
        <v>217</v>
      </c>
    </row>
    <row r="387" spans="5:11" x14ac:dyDescent="0.25">
      <c r="E387" s="20" t="s">
        <v>47</v>
      </c>
      <c r="F387" s="19" t="str">
        <f>IFERROR(_xlfn.XLOOKUP(E387,#REF!,#REF!), "")</f>
        <v/>
      </c>
      <c r="G387" s="20" t="s">
        <v>469</v>
      </c>
      <c r="H387" t="s">
        <v>188</v>
      </c>
      <c r="I387" s="6" t="s">
        <v>718</v>
      </c>
      <c r="J387" s="6" t="s">
        <v>751</v>
      </c>
      <c r="K387" s="6">
        <v>19</v>
      </c>
    </row>
    <row r="388" spans="5:11" x14ac:dyDescent="0.25">
      <c r="E388" s="20" t="s">
        <v>47</v>
      </c>
      <c r="F388" s="19" t="str">
        <f>IFERROR(_xlfn.XLOOKUP(E388,#REF!,#REF!), "")</f>
        <v/>
      </c>
      <c r="G388" s="20" t="s">
        <v>470</v>
      </c>
      <c r="H388" t="s">
        <v>189</v>
      </c>
      <c r="I388" s="6" t="s">
        <v>718</v>
      </c>
      <c r="J388" s="6" t="s">
        <v>751</v>
      </c>
      <c r="K388" s="6">
        <v>43</v>
      </c>
    </row>
    <row r="389" spans="5:11" x14ac:dyDescent="0.25">
      <c r="E389" s="20" t="s">
        <v>48</v>
      </c>
      <c r="F389" s="19" t="str">
        <f>IFERROR(_xlfn.XLOOKUP(E389,#REF!,#REF!), "")</f>
        <v/>
      </c>
      <c r="G389" s="20" t="s">
        <v>471</v>
      </c>
      <c r="H389" t="s">
        <v>190</v>
      </c>
      <c r="I389" s="6" t="s">
        <v>723</v>
      </c>
      <c r="J389" s="6" t="s">
        <v>751</v>
      </c>
      <c r="K389" s="6">
        <v>243</v>
      </c>
    </row>
    <row r="390" spans="5:11" x14ac:dyDescent="0.25">
      <c r="E390" s="20" t="s">
        <v>48</v>
      </c>
      <c r="F390" s="19" t="str">
        <f>IFERROR(_xlfn.XLOOKUP(E390,#REF!,#REF!), "")</f>
        <v/>
      </c>
      <c r="G390" s="20" t="s">
        <v>472</v>
      </c>
      <c r="H390" t="s">
        <v>191</v>
      </c>
      <c r="I390" s="6" t="s">
        <v>723</v>
      </c>
      <c r="J390" s="6" t="s">
        <v>751</v>
      </c>
      <c r="K390" s="6">
        <v>36</v>
      </c>
    </row>
    <row r="391" spans="5:11" x14ac:dyDescent="0.25">
      <c r="E391" s="20" t="s">
        <v>48</v>
      </c>
      <c r="F391" s="19" t="str">
        <f>IFERROR(_xlfn.XLOOKUP(E391,#REF!,#REF!), "")</f>
        <v/>
      </c>
      <c r="G391" s="20" t="s">
        <v>473</v>
      </c>
      <c r="H391" t="s">
        <v>192</v>
      </c>
      <c r="I391" s="6" t="s">
        <v>723</v>
      </c>
      <c r="J391" s="6" t="s">
        <v>751</v>
      </c>
      <c r="K391" s="6">
        <v>50</v>
      </c>
    </row>
    <row r="392" spans="5:11" x14ac:dyDescent="0.25">
      <c r="E392" s="20" t="s">
        <v>48</v>
      </c>
      <c r="F392" s="19" t="str">
        <f>IFERROR(_xlfn.XLOOKUP(E392,#REF!,#REF!), "")</f>
        <v/>
      </c>
      <c r="G392" s="20" t="s">
        <v>474</v>
      </c>
      <c r="H392" t="s">
        <v>193</v>
      </c>
      <c r="I392" s="6" t="s">
        <v>723</v>
      </c>
      <c r="J392" s="6" t="s">
        <v>751</v>
      </c>
      <c r="K392" s="6">
        <v>30</v>
      </c>
    </row>
    <row r="393" spans="5:11" x14ac:dyDescent="0.25">
      <c r="E393" s="20" t="s">
        <v>48</v>
      </c>
      <c r="F393" s="19" t="str">
        <f>IFERROR(_xlfn.XLOOKUP(E393,#REF!,#REF!), "")</f>
        <v/>
      </c>
      <c r="G393" s="20" t="s">
        <v>475</v>
      </c>
      <c r="H393" t="s">
        <v>194</v>
      </c>
      <c r="I393" s="6" t="s">
        <v>723</v>
      </c>
      <c r="J393" s="6" t="s">
        <v>751</v>
      </c>
      <c r="K393" s="6">
        <v>326</v>
      </c>
    </row>
    <row r="394" spans="5:11" x14ac:dyDescent="0.25">
      <c r="E394" s="20" t="s">
        <v>79</v>
      </c>
      <c r="F394" s="19" t="str">
        <f>IFERROR(_xlfn.XLOOKUP(E394,#REF!,#REF!), "")</f>
        <v/>
      </c>
      <c r="G394" s="20" t="s">
        <v>476</v>
      </c>
      <c r="H394" t="s">
        <v>195</v>
      </c>
      <c r="I394" s="6" t="s">
        <v>723</v>
      </c>
      <c r="J394" s="6" t="s">
        <v>751</v>
      </c>
      <c r="K394" s="6">
        <v>100</v>
      </c>
    </row>
    <row r="395" spans="5:11" x14ac:dyDescent="0.25">
      <c r="E395" s="20" t="s">
        <v>79</v>
      </c>
      <c r="F395" s="19" t="str">
        <f>IFERROR(_xlfn.XLOOKUP(E395,#REF!,#REF!), "")</f>
        <v/>
      </c>
      <c r="G395" s="20" t="s">
        <v>477</v>
      </c>
      <c r="H395" t="s">
        <v>196</v>
      </c>
      <c r="I395" s="6" t="s">
        <v>723</v>
      </c>
      <c r="J395" s="6" t="s">
        <v>751</v>
      </c>
      <c r="K395" s="6">
        <v>80</v>
      </c>
    </row>
    <row r="396" spans="5:11" x14ac:dyDescent="0.25">
      <c r="E396" s="20" t="s">
        <v>79</v>
      </c>
      <c r="F396" s="19" t="str">
        <f>IFERROR(_xlfn.XLOOKUP(E396,#REF!,#REF!), "")</f>
        <v/>
      </c>
      <c r="G396" s="20" t="s">
        <v>478</v>
      </c>
      <c r="H396" t="s">
        <v>197</v>
      </c>
      <c r="I396" s="6" t="s">
        <v>723</v>
      </c>
      <c r="J396" s="6" t="s">
        <v>751</v>
      </c>
      <c r="K396" s="6">
        <v>42</v>
      </c>
    </row>
    <row r="397" spans="5:11" x14ac:dyDescent="0.25">
      <c r="E397" s="20" t="s">
        <v>79</v>
      </c>
      <c r="F397" s="19" t="str">
        <f>IFERROR(_xlfn.XLOOKUP(E397,#REF!,#REF!), "")</f>
        <v/>
      </c>
      <c r="G397" s="20" t="s">
        <v>479</v>
      </c>
      <c r="H397" t="s">
        <v>198</v>
      </c>
      <c r="I397" s="6" t="s">
        <v>723</v>
      </c>
      <c r="J397" s="6" t="s">
        <v>751</v>
      </c>
      <c r="K397" s="6">
        <v>5</v>
      </c>
    </row>
    <row r="398" spans="5:11" x14ac:dyDescent="0.25">
      <c r="E398" s="20" t="s">
        <v>79</v>
      </c>
      <c r="F398" s="19" t="str">
        <f>IFERROR(_xlfn.XLOOKUP(E398,#REF!,#REF!), "")</f>
        <v/>
      </c>
      <c r="G398" s="20" t="s">
        <v>480</v>
      </c>
      <c r="H398" t="s">
        <v>199</v>
      </c>
      <c r="I398" s="6" t="s">
        <v>723</v>
      </c>
      <c r="J398" s="6" t="s">
        <v>751</v>
      </c>
      <c r="K398" s="6">
        <v>70</v>
      </c>
    </row>
    <row r="399" spans="5:11" x14ac:dyDescent="0.25">
      <c r="E399" s="20" t="s">
        <v>79</v>
      </c>
      <c r="F399" s="19" t="str">
        <f>IFERROR(_xlfn.XLOOKUP(E399,#REF!,#REF!), "")</f>
        <v/>
      </c>
      <c r="G399" s="20" t="s">
        <v>481</v>
      </c>
      <c r="H399" t="s">
        <v>200</v>
      </c>
      <c r="I399" s="6" t="s">
        <v>723</v>
      </c>
      <c r="J399" s="6" t="s">
        <v>751</v>
      </c>
      <c r="K399" s="6">
        <v>3</v>
      </c>
    </row>
    <row r="400" spans="5:11" x14ac:dyDescent="0.25">
      <c r="E400" s="20" t="s">
        <v>49</v>
      </c>
      <c r="F400" s="19" t="str">
        <f>IFERROR(_xlfn.XLOOKUP(E400,#REF!,#REF!), "")</f>
        <v/>
      </c>
      <c r="G400" s="20" t="s">
        <v>482</v>
      </c>
      <c r="H400" t="s">
        <v>201</v>
      </c>
      <c r="I400" s="6" t="s">
        <v>723</v>
      </c>
      <c r="J400" s="6" t="s">
        <v>751</v>
      </c>
      <c r="K400" s="6">
        <v>2500</v>
      </c>
    </row>
    <row r="401" spans="5:11" x14ac:dyDescent="0.25">
      <c r="E401" s="20" t="s">
        <v>49</v>
      </c>
      <c r="F401" s="19" t="str">
        <f>IFERROR(_xlfn.XLOOKUP(E401,#REF!,#REF!), "")</f>
        <v/>
      </c>
      <c r="G401" s="20" t="s">
        <v>483</v>
      </c>
      <c r="H401" t="s">
        <v>202</v>
      </c>
      <c r="I401" s="6" t="s">
        <v>723</v>
      </c>
      <c r="J401" s="6" t="s">
        <v>751</v>
      </c>
      <c r="K401" s="6">
        <v>20855</v>
      </c>
    </row>
    <row r="402" spans="5:11" x14ac:dyDescent="0.25">
      <c r="E402" s="20" t="s">
        <v>49</v>
      </c>
      <c r="F402" s="19" t="str">
        <f>IFERROR(_xlfn.XLOOKUP(E402,#REF!,#REF!), "")</f>
        <v/>
      </c>
      <c r="G402" s="20" t="s">
        <v>484</v>
      </c>
      <c r="H402" t="s">
        <v>203</v>
      </c>
      <c r="I402" s="6" t="s">
        <v>723</v>
      </c>
      <c r="J402" s="6" t="s">
        <v>751</v>
      </c>
      <c r="K402" s="6">
        <v>58</v>
      </c>
    </row>
    <row r="403" spans="5:11" x14ac:dyDescent="0.25">
      <c r="E403" s="20" t="s">
        <v>49</v>
      </c>
      <c r="F403" s="19" t="str">
        <f>IFERROR(_xlfn.XLOOKUP(E403,#REF!,#REF!), "")</f>
        <v/>
      </c>
      <c r="G403" s="20" t="s">
        <v>485</v>
      </c>
      <c r="H403" t="s">
        <v>204</v>
      </c>
      <c r="I403" s="6" t="s">
        <v>723</v>
      </c>
      <c r="J403" s="6" t="s">
        <v>751</v>
      </c>
      <c r="K403" s="6">
        <v>42</v>
      </c>
    </row>
    <row r="404" spans="5:11" x14ac:dyDescent="0.25">
      <c r="E404" s="20" t="s">
        <v>49</v>
      </c>
      <c r="F404" s="19" t="str">
        <f>IFERROR(_xlfn.XLOOKUP(E404,#REF!,#REF!), "")</f>
        <v/>
      </c>
      <c r="G404" s="20" t="s">
        <v>486</v>
      </c>
      <c r="H404" t="s">
        <v>205</v>
      </c>
      <c r="I404" s="6" t="s">
        <v>723</v>
      </c>
      <c r="J404" s="6" t="s">
        <v>751</v>
      </c>
      <c r="K404" s="6">
        <v>450</v>
      </c>
    </row>
    <row r="405" spans="5:11" x14ac:dyDescent="0.25">
      <c r="E405" s="20" t="s">
        <v>49</v>
      </c>
      <c r="F405" s="19" t="str">
        <f>IFERROR(_xlfn.XLOOKUP(E405,#REF!,#REF!), "")</f>
        <v/>
      </c>
      <c r="G405" s="20" t="s">
        <v>487</v>
      </c>
      <c r="H405" t="s">
        <v>208</v>
      </c>
      <c r="I405" s="6" t="s">
        <v>723</v>
      </c>
      <c r="J405" s="6" t="s">
        <v>751</v>
      </c>
      <c r="K405" s="6">
        <v>40</v>
      </c>
    </row>
    <row r="406" spans="5:11" x14ac:dyDescent="0.25">
      <c r="E406" s="20" t="s">
        <v>49</v>
      </c>
      <c r="F406" s="19" t="str">
        <f>IFERROR(_xlfn.XLOOKUP(E406,#REF!,#REF!), "")</f>
        <v/>
      </c>
      <c r="G406" s="20" t="s">
        <v>488</v>
      </c>
      <c r="H406" t="s">
        <v>206</v>
      </c>
      <c r="I406" s="6" t="s">
        <v>724</v>
      </c>
      <c r="J406" s="6" t="s">
        <v>751</v>
      </c>
      <c r="K406" s="6">
        <v>5</v>
      </c>
    </row>
    <row r="407" spans="5:11" x14ac:dyDescent="0.25">
      <c r="E407" s="20" t="s">
        <v>49</v>
      </c>
      <c r="F407" s="19" t="str">
        <f>IFERROR(_xlfn.XLOOKUP(E407,#REF!,#REF!), "")</f>
        <v/>
      </c>
      <c r="G407" s="20" t="s">
        <v>489</v>
      </c>
      <c r="H407" t="s">
        <v>207</v>
      </c>
      <c r="I407" s="6" t="s">
        <v>723</v>
      </c>
      <c r="J407" s="6" t="s">
        <v>751</v>
      </c>
      <c r="K407" s="6">
        <v>50</v>
      </c>
    </row>
    <row r="408" spans="5:11" x14ac:dyDescent="0.25">
      <c r="E408" s="20" t="s">
        <v>50</v>
      </c>
      <c r="F408" s="19" t="str">
        <f>IFERROR(_xlfn.XLOOKUP(E408,#REF!,#REF!), "")</f>
        <v/>
      </c>
      <c r="G408" s="20" t="s">
        <v>490</v>
      </c>
      <c r="H408" t="s">
        <v>209</v>
      </c>
      <c r="I408" s="6" t="s">
        <v>723</v>
      </c>
      <c r="J408" s="6" t="s">
        <v>751</v>
      </c>
      <c r="K408" s="6">
        <v>28</v>
      </c>
    </row>
    <row r="409" spans="5:11" x14ac:dyDescent="0.25">
      <c r="E409" s="20" t="s">
        <v>50</v>
      </c>
      <c r="F409" s="19" t="str">
        <f>IFERROR(_xlfn.XLOOKUP(E409,#REF!,#REF!), "")</f>
        <v/>
      </c>
      <c r="G409" s="20" t="s">
        <v>491</v>
      </c>
      <c r="H409" t="s">
        <v>210</v>
      </c>
      <c r="I409" s="6" t="s">
        <v>723</v>
      </c>
      <c r="J409" s="6" t="s">
        <v>751</v>
      </c>
      <c r="K409" s="6">
        <v>36</v>
      </c>
    </row>
    <row r="410" spans="5:11" x14ac:dyDescent="0.25">
      <c r="E410" s="20" t="s">
        <v>51</v>
      </c>
      <c r="F410" s="19" t="str">
        <f>IFERROR(_xlfn.XLOOKUP(E410,#REF!,#REF!), "")</f>
        <v/>
      </c>
      <c r="G410" s="20" t="s">
        <v>492</v>
      </c>
      <c r="H410" t="s">
        <v>211</v>
      </c>
      <c r="I410" s="6" t="s">
        <v>725</v>
      </c>
      <c r="J410" s="6" t="s">
        <v>751</v>
      </c>
      <c r="K410" s="6">
        <v>101400</v>
      </c>
    </row>
    <row r="411" spans="5:11" x14ac:dyDescent="0.25">
      <c r="E411" s="20" t="s">
        <v>51</v>
      </c>
      <c r="F411" s="19" t="str">
        <f>IFERROR(_xlfn.XLOOKUP(E411,#REF!,#REF!), "")</f>
        <v/>
      </c>
      <c r="G411" s="20" t="s">
        <v>493</v>
      </c>
      <c r="H411" t="s">
        <v>212</v>
      </c>
      <c r="I411" s="6" t="s">
        <v>725</v>
      </c>
      <c r="J411" s="6" t="s">
        <v>751</v>
      </c>
      <c r="K411" s="6">
        <v>15000</v>
      </c>
    </row>
    <row r="412" spans="5:11" x14ac:dyDescent="0.25">
      <c r="E412" s="20" t="s">
        <v>51</v>
      </c>
      <c r="F412" s="19" t="str">
        <f>IFERROR(_xlfn.XLOOKUP(E412,#REF!,#REF!), "")</f>
        <v/>
      </c>
      <c r="G412" s="20" t="s">
        <v>494</v>
      </c>
      <c r="H412" t="s">
        <v>213</v>
      </c>
      <c r="I412" s="6" t="s">
        <v>725</v>
      </c>
      <c r="J412" s="6" t="s">
        <v>751</v>
      </c>
      <c r="K412" s="6">
        <v>72000</v>
      </c>
    </row>
    <row r="413" spans="5:11" x14ac:dyDescent="0.25">
      <c r="E413" s="20" t="s">
        <v>52</v>
      </c>
      <c r="F413" s="19" t="str">
        <f>IFERROR(_xlfn.XLOOKUP(E413,#REF!,#REF!), "")</f>
        <v/>
      </c>
      <c r="G413" s="20" t="s">
        <v>495</v>
      </c>
      <c r="H413" t="s">
        <v>214</v>
      </c>
      <c r="I413" s="6" t="s">
        <v>726</v>
      </c>
      <c r="J413" s="6" t="s">
        <v>751</v>
      </c>
      <c r="K413" s="6">
        <v>276</v>
      </c>
    </row>
    <row r="414" spans="5:11" x14ac:dyDescent="0.25">
      <c r="E414" s="20" t="s">
        <v>52</v>
      </c>
      <c r="F414" s="19" t="str">
        <f>IFERROR(_xlfn.XLOOKUP(E414,#REF!,#REF!), "")</f>
        <v/>
      </c>
      <c r="G414" s="20" t="s">
        <v>496</v>
      </c>
      <c r="H414" t="s">
        <v>215</v>
      </c>
      <c r="I414" s="6" t="s">
        <v>727</v>
      </c>
      <c r="J414" s="6" t="s">
        <v>751</v>
      </c>
      <c r="K414" s="6">
        <v>15</v>
      </c>
    </row>
    <row r="415" spans="5:11" x14ac:dyDescent="0.25">
      <c r="E415" s="20" t="s">
        <v>52</v>
      </c>
      <c r="F415" s="19" t="str">
        <f>IFERROR(_xlfn.XLOOKUP(E415,#REF!,#REF!), "")</f>
        <v/>
      </c>
      <c r="G415" s="20" t="s">
        <v>497</v>
      </c>
      <c r="H415" t="s">
        <v>216</v>
      </c>
      <c r="I415" s="6" t="s">
        <v>728</v>
      </c>
      <c r="J415" s="6" t="s">
        <v>751</v>
      </c>
      <c r="K415" s="6">
        <v>10000</v>
      </c>
    </row>
    <row r="416" spans="5:11" x14ac:dyDescent="0.25">
      <c r="E416" s="20" t="s">
        <v>52</v>
      </c>
      <c r="F416" s="19" t="str">
        <f>IFERROR(_xlfn.XLOOKUP(E416,#REF!,#REF!), "")</f>
        <v/>
      </c>
      <c r="G416" s="20" t="s">
        <v>498</v>
      </c>
      <c r="H416" t="s">
        <v>217</v>
      </c>
      <c r="I416" s="6" t="s">
        <v>729</v>
      </c>
      <c r="J416" s="6" t="s">
        <v>751</v>
      </c>
      <c r="K416" s="6">
        <v>2</v>
      </c>
    </row>
    <row r="417" spans="5:11" x14ac:dyDescent="0.25">
      <c r="E417" s="20" t="s">
        <v>52</v>
      </c>
      <c r="F417" s="19" t="str">
        <f>IFERROR(_xlfn.XLOOKUP(E417,#REF!,#REF!), "")</f>
        <v/>
      </c>
      <c r="G417" s="20" t="s">
        <v>499</v>
      </c>
      <c r="H417" t="s">
        <v>218</v>
      </c>
      <c r="I417" s="6" t="s">
        <v>730</v>
      </c>
      <c r="J417" s="6" t="s">
        <v>751</v>
      </c>
      <c r="K417" s="6">
        <v>217</v>
      </c>
    </row>
    <row r="418" spans="5:11" x14ac:dyDescent="0.25">
      <c r="E418" s="20" t="s">
        <v>52</v>
      </c>
      <c r="F418" s="19" t="str">
        <f>IFERROR(_xlfn.XLOOKUP(E418,#REF!,#REF!), "")</f>
        <v/>
      </c>
      <c r="G418" s="20" t="s">
        <v>500</v>
      </c>
      <c r="H418" t="s">
        <v>219</v>
      </c>
      <c r="I418" s="6" t="s">
        <v>723</v>
      </c>
      <c r="J418" s="6" t="s">
        <v>751</v>
      </c>
      <c r="K418" s="6">
        <v>5</v>
      </c>
    </row>
    <row r="419" spans="5:11" x14ac:dyDescent="0.25">
      <c r="E419" s="20" t="s">
        <v>52</v>
      </c>
      <c r="F419" s="19" t="str">
        <f>IFERROR(_xlfn.XLOOKUP(E419,#REF!,#REF!), "")</f>
        <v/>
      </c>
      <c r="G419" s="20" t="s">
        <v>501</v>
      </c>
      <c r="H419" t="s">
        <v>220</v>
      </c>
      <c r="I419" s="6" t="s">
        <v>731</v>
      </c>
      <c r="J419" s="6" t="s">
        <v>751</v>
      </c>
      <c r="K419" s="6">
        <v>23</v>
      </c>
    </row>
    <row r="420" spans="5:11" x14ac:dyDescent="0.25">
      <c r="E420" s="20" t="s">
        <v>52</v>
      </c>
      <c r="F420" s="19" t="str">
        <f>IFERROR(_xlfn.XLOOKUP(E420,#REF!,#REF!), "")</f>
        <v/>
      </c>
      <c r="G420" s="20" t="s">
        <v>502</v>
      </c>
      <c r="H420" t="s">
        <v>221</v>
      </c>
      <c r="I420" s="6" t="s">
        <v>731</v>
      </c>
      <c r="J420" s="6" t="s">
        <v>751</v>
      </c>
      <c r="K420" s="6">
        <v>23</v>
      </c>
    </row>
    <row r="421" spans="5:11" x14ac:dyDescent="0.25">
      <c r="E421" s="20" t="s">
        <v>52</v>
      </c>
      <c r="F421" s="19" t="str">
        <f>IFERROR(_xlfn.XLOOKUP(E421,#REF!,#REF!), "")</f>
        <v/>
      </c>
      <c r="G421" s="20" t="s">
        <v>503</v>
      </c>
      <c r="H421" t="s">
        <v>222</v>
      </c>
      <c r="I421" s="6" t="s">
        <v>732</v>
      </c>
      <c r="J421" s="6" t="s">
        <v>751</v>
      </c>
      <c r="K421" s="6">
        <v>6</v>
      </c>
    </row>
    <row r="422" spans="5:11" x14ac:dyDescent="0.25">
      <c r="E422" s="20" t="s">
        <v>52</v>
      </c>
      <c r="F422" s="19" t="str">
        <f>IFERROR(_xlfn.XLOOKUP(E422,#REF!,#REF!), "")</f>
        <v/>
      </c>
      <c r="G422" s="20" t="s">
        <v>504</v>
      </c>
      <c r="H422" t="s">
        <v>223</v>
      </c>
      <c r="I422" s="6" t="s">
        <v>723</v>
      </c>
      <c r="J422" s="6" t="s">
        <v>751</v>
      </c>
      <c r="K422" s="6">
        <v>200</v>
      </c>
    </row>
    <row r="423" spans="5:11" x14ac:dyDescent="0.25">
      <c r="E423" s="20" t="s">
        <v>52</v>
      </c>
      <c r="F423" s="19" t="str">
        <f>IFERROR(_xlfn.XLOOKUP(E423,#REF!,#REF!), "")</f>
        <v/>
      </c>
      <c r="G423" s="20" t="s">
        <v>505</v>
      </c>
      <c r="H423" t="s">
        <v>224</v>
      </c>
      <c r="I423" s="6" t="s">
        <v>723</v>
      </c>
      <c r="J423" s="6" t="s">
        <v>751</v>
      </c>
      <c r="K423" s="6">
        <v>150</v>
      </c>
    </row>
    <row r="424" spans="5:11" x14ac:dyDescent="0.25">
      <c r="E424" s="20" t="s">
        <v>52</v>
      </c>
      <c r="F424" s="19" t="str">
        <f>IFERROR(_xlfn.XLOOKUP(E424,#REF!,#REF!), "")</f>
        <v/>
      </c>
      <c r="G424" s="20" t="s">
        <v>506</v>
      </c>
      <c r="H424" t="s">
        <v>225</v>
      </c>
      <c r="I424" s="6" t="s">
        <v>723</v>
      </c>
      <c r="J424" s="6" t="s">
        <v>751</v>
      </c>
      <c r="K424" s="6">
        <v>50</v>
      </c>
    </row>
    <row r="425" spans="5:11" x14ac:dyDescent="0.25">
      <c r="E425" s="20" t="s">
        <v>52</v>
      </c>
      <c r="F425" s="19" t="str">
        <f>IFERROR(_xlfn.XLOOKUP(E425,#REF!,#REF!), "")</f>
        <v/>
      </c>
      <c r="G425" s="20" t="s">
        <v>507</v>
      </c>
      <c r="H425" t="s">
        <v>226</v>
      </c>
      <c r="I425" s="6" t="s">
        <v>733</v>
      </c>
      <c r="J425" s="6" t="s">
        <v>751</v>
      </c>
      <c r="K425" s="6">
        <v>3080</v>
      </c>
    </row>
    <row r="426" spans="5:11" x14ac:dyDescent="0.25">
      <c r="E426" s="20" t="s">
        <v>52</v>
      </c>
      <c r="F426" s="19" t="str">
        <f>IFERROR(_xlfn.XLOOKUP(E426,#REF!,#REF!), "")</f>
        <v/>
      </c>
      <c r="G426" s="20" t="s">
        <v>508</v>
      </c>
      <c r="H426" t="s">
        <v>227</v>
      </c>
      <c r="I426" s="6" t="s">
        <v>723</v>
      </c>
      <c r="J426" s="6" t="s">
        <v>751</v>
      </c>
      <c r="K426" s="6">
        <v>18</v>
      </c>
    </row>
    <row r="427" spans="5:11" x14ac:dyDescent="0.25">
      <c r="E427" s="20" t="s">
        <v>52</v>
      </c>
      <c r="F427" s="19" t="str">
        <f>IFERROR(_xlfn.XLOOKUP(E427,#REF!,#REF!), "")</f>
        <v/>
      </c>
      <c r="G427" s="20" t="s">
        <v>509</v>
      </c>
      <c r="H427" t="s">
        <v>228</v>
      </c>
      <c r="I427" s="6" t="s">
        <v>819</v>
      </c>
      <c r="J427" s="6" t="s">
        <v>751</v>
      </c>
      <c r="K427" s="6">
        <v>100</v>
      </c>
    </row>
    <row r="428" spans="5:11" x14ac:dyDescent="0.25">
      <c r="E428" s="20" t="s">
        <v>52</v>
      </c>
      <c r="F428" s="19" t="str">
        <f>IFERROR(_xlfn.XLOOKUP(E428,#REF!,#REF!), "")</f>
        <v/>
      </c>
      <c r="G428" s="20" t="s">
        <v>510</v>
      </c>
      <c r="H428" t="s">
        <v>229</v>
      </c>
      <c r="I428" s="6" t="s">
        <v>734</v>
      </c>
      <c r="J428" s="6" t="s">
        <v>751</v>
      </c>
      <c r="K428" s="6">
        <v>90</v>
      </c>
    </row>
    <row r="429" spans="5:11" x14ac:dyDescent="0.25">
      <c r="E429" s="20" t="s">
        <v>52</v>
      </c>
      <c r="F429" s="19" t="str">
        <f>IFERROR(_xlfn.XLOOKUP(E429,#REF!,#REF!), "")</f>
        <v/>
      </c>
      <c r="G429" s="20" t="s">
        <v>511</v>
      </c>
      <c r="H429" t="s">
        <v>230</v>
      </c>
      <c r="I429" s="6" t="s">
        <v>723</v>
      </c>
      <c r="J429" s="6" t="s">
        <v>751</v>
      </c>
      <c r="K429" s="6">
        <v>12</v>
      </c>
    </row>
    <row r="430" spans="5:11" x14ac:dyDescent="0.25">
      <c r="E430" s="20" t="s">
        <v>52</v>
      </c>
      <c r="F430" s="19" t="str">
        <f>IFERROR(_xlfn.XLOOKUP(E430,#REF!,#REF!), "")</f>
        <v/>
      </c>
      <c r="G430" s="20" t="s">
        <v>512</v>
      </c>
      <c r="H430" t="s">
        <v>231</v>
      </c>
      <c r="I430" s="6" t="s">
        <v>723</v>
      </c>
      <c r="J430" s="6" t="s">
        <v>751</v>
      </c>
      <c r="K430" s="6">
        <v>20</v>
      </c>
    </row>
    <row r="431" spans="5:11" x14ac:dyDescent="0.25">
      <c r="E431" s="20" t="s">
        <v>53</v>
      </c>
      <c r="F431" s="19" t="str">
        <f>IFERROR(_xlfn.XLOOKUP(E431,#REF!,#REF!), "")</f>
        <v/>
      </c>
      <c r="G431" s="20" t="s">
        <v>513</v>
      </c>
      <c r="H431" t="s">
        <v>232</v>
      </c>
      <c r="I431" s="6" t="s">
        <v>718</v>
      </c>
      <c r="J431" s="6" t="s">
        <v>751</v>
      </c>
      <c r="K431" s="6">
        <v>60</v>
      </c>
    </row>
    <row r="432" spans="5:11" x14ac:dyDescent="0.25">
      <c r="E432" s="20" t="s">
        <v>53</v>
      </c>
      <c r="F432" s="19" t="str">
        <f>IFERROR(_xlfn.XLOOKUP(E432,#REF!,#REF!), "")</f>
        <v/>
      </c>
      <c r="G432" s="20" t="s">
        <v>514</v>
      </c>
      <c r="H432" t="s">
        <v>233</v>
      </c>
      <c r="I432" s="6" t="s">
        <v>718</v>
      </c>
      <c r="J432" s="6" t="s">
        <v>751</v>
      </c>
      <c r="K432" s="6">
        <v>60</v>
      </c>
    </row>
    <row r="433" spans="5:11" x14ac:dyDescent="0.25">
      <c r="E433" s="20" t="s">
        <v>53</v>
      </c>
      <c r="F433" s="19" t="str">
        <f>IFERROR(_xlfn.XLOOKUP(E433,#REF!,#REF!), "")</f>
        <v/>
      </c>
      <c r="G433" s="20" t="s">
        <v>515</v>
      </c>
      <c r="H433" t="s">
        <v>234</v>
      </c>
      <c r="I433" s="6" t="s">
        <v>718</v>
      </c>
      <c r="J433" s="6" t="s">
        <v>751</v>
      </c>
      <c r="K433" s="6">
        <v>60</v>
      </c>
    </row>
    <row r="434" spans="5:11" x14ac:dyDescent="0.25">
      <c r="E434" s="20" t="s">
        <v>53</v>
      </c>
      <c r="F434" s="19" t="str">
        <f>IFERROR(_xlfn.XLOOKUP(E434,#REF!,#REF!), "")</f>
        <v/>
      </c>
      <c r="G434" s="20" t="s">
        <v>516</v>
      </c>
      <c r="H434" t="s">
        <v>235</v>
      </c>
      <c r="I434" s="6" t="s">
        <v>718</v>
      </c>
      <c r="J434" s="6" t="s">
        <v>751</v>
      </c>
      <c r="K434" s="6">
        <v>2</v>
      </c>
    </row>
    <row r="435" spans="5:11" x14ac:dyDescent="0.25">
      <c r="E435" s="20" t="s">
        <v>53</v>
      </c>
      <c r="F435" s="19" t="str">
        <f>IFERROR(_xlfn.XLOOKUP(E435,#REF!,#REF!), "")</f>
        <v/>
      </c>
      <c r="G435" s="20" t="s">
        <v>517</v>
      </c>
      <c r="H435" t="s">
        <v>236</v>
      </c>
      <c r="I435" s="6" t="s">
        <v>718</v>
      </c>
      <c r="J435" s="6" t="s">
        <v>751</v>
      </c>
      <c r="K435" s="6">
        <v>60</v>
      </c>
    </row>
    <row r="436" spans="5:11" x14ac:dyDescent="0.25">
      <c r="E436" s="20" t="s">
        <v>53</v>
      </c>
      <c r="F436" s="19" t="str">
        <f>IFERROR(_xlfn.XLOOKUP(E436,#REF!,#REF!), "")</f>
        <v/>
      </c>
      <c r="G436" s="20" t="s">
        <v>518</v>
      </c>
      <c r="H436" t="s">
        <v>237</v>
      </c>
      <c r="I436" s="6" t="s">
        <v>718</v>
      </c>
      <c r="J436" s="6" t="s">
        <v>751</v>
      </c>
      <c r="K436" s="6">
        <v>21</v>
      </c>
    </row>
    <row r="437" spans="5:11" x14ac:dyDescent="0.25">
      <c r="E437" s="20" t="s">
        <v>53</v>
      </c>
      <c r="F437" s="19" t="str">
        <f>IFERROR(_xlfn.XLOOKUP(E437,#REF!,#REF!), "")</f>
        <v/>
      </c>
      <c r="G437" s="20" t="s">
        <v>519</v>
      </c>
      <c r="H437" t="s">
        <v>238</v>
      </c>
      <c r="I437" s="6" t="s">
        <v>718</v>
      </c>
      <c r="J437" s="6" t="s">
        <v>751</v>
      </c>
      <c r="K437" s="6">
        <v>33</v>
      </c>
    </row>
    <row r="438" spans="5:11" x14ac:dyDescent="0.25">
      <c r="E438" s="20" t="s">
        <v>53</v>
      </c>
      <c r="F438" s="19" t="str">
        <f>IFERROR(_xlfn.XLOOKUP(E438,#REF!,#REF!), "")</f>
        <v/>
      </c>
      <c r="G438" s="20" t="s">
        <v>520</v>
      </c>
      <c r="H438" t="s">
        <v>239</v>
      </c>
      <c r="I438" s="6" t="s">
        <v>718</v>
      </c>
      <c r="J438" s="6" t="s">
        <v>751</v>
      </c>
      <c r="K438" s="6">
        <v>6</v>
      </c>
    </row>
    <row r="439" spans="5:11" x14ac:dyDescent="0.25">
      <c r="E439" s="20" t="s">
        <v>53</v>
      </c>
      <c r="F439" s="19" t="str">
        <f>IFERROR(_xlfn.XLOOKUP(E439,#REF!,#REF!), "")</f>
        <v/>
      </c>
      <c r="G439" s="20" t="s">
        <v>521</v>
      </c>
      <c r="H439" t="s">
        <v>240</v>
      </c>
      <c r="I439" s="6" t="s">
        <v>718</v>
      </c>
      <c r="J439" s="6" t="s">
        <v>751</v>
      </c>
      <c r="K439" s="6">
        <v>60</v>
      </c>
    </row>
    <row r="440" spans="5:11" x14ac:dyDescent="0.25">
      <c r="E440" s="20" t="s">
        <v>53</v>
      </c>
      <c r="F440" s="19" t="str">
        <f>IFERROR(_xlfn.XLOOKUP(E440,#REF!,#REF!), "")</f>
        <v/>
      </c>
      <c r="G440" s="20" t="s">
        <v>522</v>
      </c>
      <c r="H440" t="s">
        <v>241</v>
      </c>
      <c r="I440" s="6" t="s">
        <v>723</v>
      </c>
      <c r="J440" s="6" t="s">
        <v>751</v>
      </c>
      <c r="K440" s="6">
        <v>6</v>
      </c>
    </row>
    <row r="441" spans="5:11" x14ac:dyDescent="0.25">
      <c r="E441" s="20" t="s">
        <v>54</v>
      </c>
      <c r="F441" s="19" t="str">
        <f>IFERROR(_xlfn.XLOOKUP(E441,#REF!,#REF!), "")</f>
        <v/>
      </c>
      <c r="G441" s="20" t="s">
        <v>523</v>
      </c>
      <c r="H441" t="s">
        <v>242</v>
      </c>
      <c r="I441" s="6" t="s">
        <v>728</v>
      </c>
      <c r="J441" s="6" t="s">
        <v>751</v>
      </c>
      <c r="K441" s="6">
        <v>323533</v>
      </c>
    </row>
    <row r="442" spans="5:11" x14ac:dyDescent="0.25">
      <c r="E442" s="20" t="s">
        <v>55</v>
      </c>
      <c r="F442" s="19" t="str">
        <f>IFERROR(_xlfn.XLOOKUP(E442,#REF!,#REF!), "")</f>
        <v/>
      </c>
      <c r="G442" s="20" t="s">
        <v>524</v>
      </c>
      <c r="H442" t="s">
        <v>243</v>
      </c>
      <c r="I442" s="6" t="s">
        <v>728</v>
      </c>
      <c r="J442" s="6" t="s">
        <v>751</v>
      </c>
      <c r="K442" s="6">
        <v>11248</v>
      </c>
    </row>
    <row r="443" spans="5:11" x14ac:dyDescent="0.25">
      <c r="E443" s="20" t="s">
        <v>55</v>
      </c>
      <c r="F443" s="19" t="str">
        <f>IFERROR(_xlfn.XLOOKUP(E443,#REF!,#REF!), "")</f>
        <v/>
      </c>
      <c r="G443" s="20" t="s">
        <v>525</v>
      </c>
      <c r="H443" t="s">
        <v>244</v>
      </c>
      <c r="I443" s="6" t="s">
        <v>735</v>
      </c>
      <c r="J443" s="6" t="s">
        <v>751</v>
      </c>
      <c r="K443" s="6">
        <v>1</v>
      </c>
    </row>
    <row r="444" spans="5:11" x14ac:dyDescent="0.25">
      <c r="E444" s="20" t="s">
        <v>56</v>
      </c>
      <c r="F444" s="19" t="str">
        <f>IFERROR(_xlfn.XLOOKUP(E444,#REF!,#REF!), "")</f>
        <v/>
      </c>
      <c r="G444" s="20" t="s">
        <v>526</v>
      </c>
      <c r="H444" t="s">
        <v>245</v>
      </c>
      <c r="I444" s="6" t="s">
        <v>736</v>
      </c>
      <c r="J444" s="6" t="s">
        <v>751</v>
      </c>
      <c r="K444" s="6">
        <v>2</v>
      </c>
    </row>
    <row r="445" spans="5:11" x14ac:dyDescent="0.25">
      <c r="E445" s="20" t="s">
        <v>57</v>
      </c>
      <c r="F445" s="19" t="str">
        <f>IFERROR(_xlfn.XLOOKUP(E445,#REF!,#REF!), "")</f>
        <v/>
      </c>
      <c r="G445" s="20" t="s">
        <v>527</v>
      </c>
      <c r="H445" t="s">
        <v>246</v>
      </c>
      <c r="I445" s="6" t="s">
        <v>728</v>
      </c>
      <c r="J445" s="6" t="s">
        <v>751</v>
      </c>
      <c r="K445" s="6">
        <v>104079</v>
      </c>
    </row>
    <row r="446" spans="5:11" x14ac:dyDescent="0.25">
      <c r="E446" s="20" t="s">
        <v>58</v>
      </c>
      <c r="F446" s="19" t="str">
        <f>IFERROR(_xlfn.XLOOKUP(E446,#REF!,#REF!), "")</f>
        <v/>
      </c>
      <c r="G446" s="20" t="s">
        <v>528</v>
      </c>
      <c r="H446" t="s">
        <v>247</v>
      </c>
      <c r="I446" s="6" t="s">
        <v>736</v>
      </c>
      <c r="J446" s="6" t="s">
        <v>751</v>
      </c>
      <c r="K446" s="6">
        <v>2</v>
      </c>
    </row>
    <row r="447" spans="5:11" x14ac:dyDescent="0.25">
      <c r="E447" s="20" t="s">
        <v>58</v>
      </c>
      <c r="F447" s="19" t="str">
        <f>IFERROR(_xlfn.XLOOKUP(E447,#REF!,#REF!), "")</f>
        <v/>
      </c>
      <c r="G447" s="20" t="s">
        <v>529</v>
      </c>
      <c r="H447" t="s">
        <v>248</v>
      </c>
      <c r="I447" s="6" t="s">
        <v>736</v>
      </c>
      <c r="J447" s="6" t="s">
        <v>751</v>
      </c>
      <c r="K447" s="6">
        <v>2</v>
      </c>
    </row>
    <row r="448" spans="5:11" x14ac:dyDescent="0.25">
      <c r="E448" s="20" t="s">
        <v>58</v>
      </c>
      <c r="F448" s="19" t="str">
        <f>IFERROR(_xlfn.XLOOKUP(E448,#REF!,#REF!), "")</f>
        <v/>
      </c>
      <c r="G448" s="20" t="s">
        <v>530</v>
      </c>
      <c r="H448" t="s">
        <v>249</v>
      </c>
      <c r="I448" s="6" t="s">
        <v>737</v>
      </c>
      <c r="J448" s="6" t="s">
        <v>751</v>
      </c>
      <c r="K448" s="6">
        <v>10</v>
      </c>
    </row>
    <row r="449" spans="5:11" x14ac:dyDescent="0.25">
      <c r="E449" s="20" t="s">
        <v>58</v>
      </c>
      <c r="F449" s="19" t="str">
        <f>IFERROR(_xlfn.XLOOKUP(E449,#REF!,#REF!), "")</f>
        <v/>
      </c>
      <c r="G449" s="20" t="s">
        <v>531</v>
      </c>
      <c r="H449" t="s">
        <v>250</v>
      </c>
      <c r="I449" s="6" t="s">
        <v>738</v>
      </c>
      <c r="J449" s="6" t="s">
        <v>751</v>
      </c>
      <c r="K449" s="6">
        <v>2</v>
      </c>
    </row>
    <row r="450" spans="5:11" x14ac:dyDescent="0.25">
      <c r="E450" s="20" t="s">
        <v>58</v>
      </c>
      <c r="F450" s="19" t="str">
        <f>IFERROR(_xlfn.XLOOKUP(E450,#REF!,#REF!), "")</f>
        <v/>
      </c>
      <c r="G450" s="20" t="s">
        <v>532</v>
      </c>
      <c r="H450" t="s">
        <v>251</v>
      </c>
      <c r="I450" s="6" t="s">
        <v>736</v>
      </c>
      <c r="J450" s="6" t="s">
        <v>751</v>
      </c>
      <c r="K450" s="6">
        <v>2</v>
      </c>
    </row>
    <row r="451" spans="5:11" x14ac:dyDescent="0.25">
      <c r="E451" s="20" t="s">
        <v>58</v>
      </c>
      <c r="F451" s="19" t="str">
        <f>IFERROR(_xlfn.XLOOKUP(E451,#REF!,#REF!), "")</f>
        <v/>
      </c>
      <c r="G451" s="20" t="s">
        <v>533</v>
      </c>
      <c r="H451" t="s">
        <v>252</v>
      </c>
      <c r="I451" s="6" t="s">
        <v>724</v>
      </c>
      <c r="J451" s="6" t="s">
        <v>751</v>
      </c>
      <c r="K451" s="6">
        <v>18</v>
      </c>
    </row>
    <row r="452" spans="5:11" x14ac:dyDescent="0.25">
      <c r="E452" s="20" t="s">
        <v>58</v>
      </c>
      <c r="F452" s="19" t="str">
        <f>IFERROR(_xlfn.XLOOKUP(E452,#REF!,#REF!), "")</f>
        <v/>
      </c>
      <c r="G452" s="20" t="s">
        <v>534</v>
      </c>
      <c r="H452" t="s">
        <v>253</v>
      </c>
      <c r="I452" s="6" t="s">
        <v>736</v>
      </c>
      <c r="J452" s="6" t="s">
        <v>751</v>
      </c>
      <c r="K452" s="6">
        <v>1</v>
      </c>
    </row>
    <row r="453" spans="5:11" x14ac:dyDescent="0.25">
      <c r="E453" s="20" t="s">
        <v>58</v>
      </c>
      <c r="F453" s="19" t="str">
        <f>IFERROR(_xlfn.XLOOKUP(E453,#REF!,#REF!), "")</f>
        <v/>
      </c>
      <c r="G453" s="20" t="s">
        <v>535</v>
      </c>
      <c r="H453" t="s">
        <v>254</v>
      </c>
      <c r="I453" s="6" t="s">
        <v>736</v>
      </c>
      <c r="J453" s="6" t="s">
        <v>751</v>
      </c>
      <c r="K453" s="6">
        <v>2</v>
      </c>
    </row>
    <row r="454" spans="5:11" x14ac:dyDescent="0.25">
      <c r="E454" s="20" t="s">
        <v>58</v>
      </c>
      <c r="F454" s="19" t="str">
        <f>IFERROR(_xlfn.XLOOKUP(E454,#REF!,#REF!), "")</f>
        <v/>
      </c>
      <c r="G454" s="20" t="s">
        <v>536</v>
      </c>
      <c r="H454" t="s">
        <v>255</v>
      </c>
      <c r="I454" s="6" t="s">
        <v>736</v>
      </c>
      <c r="J454" s="6" t="s">
        <v>751</v>
      </c>
      <c r="K454" s="6">
        <v>1</v>
      </c>
    </row>
    <row r="455" spans="5:11" x14ac:dyDescent="0.25">
      <c r="E455" s="20" t="s">
        <v>58</v>
      </c>
      <c r="F455" s="19" t="str">
        <f>IFERROR(_xlfn.XLOOKUP(E455,#REF!,#REF!), "")</f>
        <v/>
      </c>
      <c r="G455" s="20" t="s">
        <v>537</v>
      </c>
      <c r="H455" t="s">
        <v>256</v>
      </c>
      <c r="I455" s="6" t="s">
        <v>736</v>
      </c>
      <c r="J455" s="6" t="s">
        <v>751</v>
      </c>
      <c r="K455" s="6">
        <v>1</v>
      </c>
    </row>
    <row r="456" spans="5:11" x14ac:dyDescent="0.25">
      <c r="E456" s="20" t="s">
        <v>58</v>
      </c>
      <c r="F456" s="19" t="str">
        <f>IFERROR(_xlfn.XLOOKUP(E456,#REF!,#REF!), "")</f>
        <v/>
      </c>
      <c r="G456" s="20" t="s">
        <v>538</v>
      </c>
      <c r="H456" t="s">
        <v>257</v>
      </c>
      <c r="I456" s="6" t="s">
        <v>739</v>
      </c>
      <c r="J456" s="6" t="s">
        <v>751</v>
      </c>
      <c r="K456" s="6">
        <v>1</v>
      </c>
    </row>
    <row r="457" spans="5:11" x14ac:dyDescent="0.25">
      <c r="E457" s="20" t="s">
        <v>58</v>
      </c>
      <c r="F457" s="19" t="str">
        <f>IFERROR(_xlfn.XLOOKUP(E457,#REF!,#REF!), "")</f>
        <v/>
      </c>
      <c r="G457" s="20" t="s">
        <v>539</v>
      </c>
      <c r="H457" t="s">
        <v>258</v>
      </c>
      <c r="I457" s="6" t="s">
        <v>736</v>
      </c>
      <c r="J457" s="6" t="s">
        <v>751</v>
      </c>
      <c r="K457" s="6">
        <v>1</v>
      </c>
    </row>
    <row r="458" spans="5:11" x14ac:dyDescent="0.25">
      <c r="E458" s="20" t="s">
        <v>58</v>
      </c>
      <c r="F458" s="19" t="str">
        <f>IFERROR(_xlfn.XLOOKUP(E458,#REF!,#REF!), "")</f>
        <v/>
      </c>
      <c r="G458" s="20" t="s">
        <v>540</v>
      </c>
      <c r="H458" t="s">
        <v>259</v>
      </c>
      <c r="I458" s="6" t="s">
        <v>738</v>
      </c>
      <c r="J458" s="6" t="s">
        <v>751</v>
      </c>
      <c r="K458" s="6">
        <v>2</v>
      </c>
    </row>
    <row r="459" spans="5:11" x14ac:dyDescent="0.25">
      <c r="E459" s="20" t="s">
        <v>58</v>
      </c>
      <c r="F459" s="19" t="str">
        <f>IFERROR(_xlfn.XLOOKUP(E459,#REF!,#REF!), "")</f>
        <v/>
      </c>
      <c r="G459" s="20" t="s">
        <v>541</v>
      </c>
      <c r="H459" t="s">
        <v>260</v>
      </c>
      <c r="I459" s="6" t="s">
        <v>740</v>
      </c>
      <c r="J459" s="6" t="s">
        <v>751</v>
      </c>
      <c r="K459" s="6">
        <v>1</v>
      </c>
    </row>
    <row r="460" spans="5:11" x14ac:dyDescent="0.25">
      <c r="E460" s="20" t="s">
        <v>58</v>
      </c>
      <c r="F460" s="19" t="str">
        <f>IFERROR(_xlfn.XLOOKUP(E460,#REF!,#REF!), "")</f>
        <v/>
      </c>
      <c r="G460" s="20" t="s">
        <v>542</v>
      </c>
      <c r="H460" t="s">
        <v>261</v>
      </c>
      <c r="I460" s="6" t="s">
        <v>741</v>
      </c>
      <c r="J460" s="6" t="s">
        <v>751</v>
      </c>
      <c r="K460" s="6">
        <v>760</v>
      </c>
    </row>
    <row r="461" spans="5:11" x14ac:dyDescent="0.25">
      <c r="E461" s="20" t="s">
        <v>58</v>
      </c>
      <c r="F461" s="19" t="str">
        <f>IFERROR(_xlfn.XLOOKUP(E461,#REF!,#REF!), "")</f>
        <v/>
      </c>
      <c r="G461" s="20" t="s">
        <v>543</v>
      </c>
      <c r="H461" t="s">
        <v>262</v>
      </c>
      <c r="I461" s="6" t="s">
        <v>742</v>
      </c>
      <c r="J461" s="6" t="s">
        <v>751</v>
      </c>
      <c r="K461" s="6">
        <v>3</v>
      </c>
    </row>
    <row r="462" spans="5:11" x14ac:dyDescent="0.25">
      <c r="E462" s="20" t="s">
        <v>58</v>
      </c>
      <c r="F462" s="19" t="str">
        <f>IFERROR(_xlfn.XLOOKUP(E462,#REF!,#REF!), "")</f>
        <v/>
      </c>
      <c r="G462" s="20" t="s">
        <v>544</v>
      </c>
      <c r="H462" t="s">
        <v>263</v>
      </c>
      <c r="I462" s="6" t="s">
        <v>728</v>
      </c>
      <c r="J462" s="6" t="s">
        <v>751</v>
      </c>
      <c r="K462" s="6">
        <v>2230</v>
      </c>
    </row>
    <row r="463" spans="5:11" x14ac:dyDescent="0.25">
      <c r="E463" s="20" t="s">
        <v>58</v>
      </c>
      <c r="F463" s="19" t="str">
        <f>IFERROR(_xlfn.XLOOKUP(E463,#REF!,#REF!), "")</f>
        <v/>
      </c>
      <c r="G463" s="20" t="s">
        <v>545</v>
      </c>
      <c r="H463" t="s">
        <v>264</v>
      </c>
      <c r="I463" s="6" t="s">
        <v>728</v>
      </c>
      <c r="J463" s="6" t="s">
        <v>751</v>
      </c>
      <c r="K463" s="6">
        <v>6160</v>
      </c>
    </row>
    <row r="464" spans="5:11" x14ac:dyDescent="0.25">
      <c r="E464" s="20" t="s">
        <v>58</v>
      </c>
      <c r="F464" s="19" t="str">
        <f>IFERROR(_xlfn.XLOOKUP(E464,#REF!,#REF!), "")</f>
        <v/>
      </c>
      <c r="G464" s="20" t="s">
        <v>546</v>
      </c>
      <c r="H464" t="s">
        <v>265</v>
      </c>
      <c r="I464" s="6" t="s">
        <v>728</v>
      </c>
      <c r="J464" s="6" t="s">
        <v>751</v>
      </c>
      <c r="K464" s="6">
        <v>3870</v>
      </c>
    </row>
    <row r="465" spans="5:11" x14ac:dyDescent="0.25">
      <c r="E465" s="20" t="s">
        <v>59</v>
      </c>
      <c r="F465" s="19" t="str">
        <f>IFERROR(_xlfn.XLOOKUP(E465,#REF!,#REF!), "")</f>
        <v/>
      </c>
      <c r="G465" s="20" t="s">
        <v>547</v>
      </c>
      <c r="H465" t="s">
        <v>266</v>
      </c>
      <c r="I465" s="6" t="s">
        <v>743</v>
      </c>
      <c r="J465" s="6" t="s">
        <v>751</v>
      </c>
      <c r="K465" s="6">
        <v>1</v>
      </c>
    </row>
    <row r="466" spans="5:11" x14ac:dyDescent="0.25">
      <c r="E466" s="20" t="s">
        <v>59</v>
      </c>
      <c r="F466" s="19" t="str">
        <f>IFERROR(_xlfn.XLOOKUP(E466,#REF!,#REF!), "")</f>
        <v/>
      </c>
      <c r="G466" s="20" t="s">
        <v>548</v>
      </c>
      <c r="H466" t="s">
        <v>267</v>
      </c>
      <c r="I466" s="6" t="s">
        <v>745</v>
      </c>
      <c r="J466" s="6" t="s">
        <v>751</v>
      </c>
      <c r="K466" s="6">
        <v>1</v>
      </c>
    </row>
    <row r="467" spans="5:11" x14ac:dyDescent="0.25">
      <c r="E467" s="20" t="s">
        <v>59</v>
      </c>
      <c r="F467" s="19" t="str">
        <f>IFERROR(_xlfn.XLOOKUP(E467,#REF!,#REF!), "")</f>
        <v/>
      </c>
      <c r="G467" s="20" t="s">
        <v>549</v>
      </c>
      <c r="H467" t="s">
        <v>268</v>
      </c>
      <c r="I467" s="6" t="s">
        <v>744</v>
      </c>
      <c r="J467" s="6" t="s">
        <v>751</v>
      </c>
      <c r="K467" s="6">
        <v>1</v>
      </c>
    </row>
    <row r="468" spans="5:11" x14ac:dyDescent="0.25">
      <c r="E468" s="20" t="s">
        <v>59</v>
      </c>
      <c r="F468" s="19" t="str">
        <f>IFERROR(_xlfn.XLOOKUP(E468,#REF!,#REF!), "")</f>
        <v/>
      </c>
      <c r="G468" s="20" t="s">
        <v>550</v>
      </c>
      <c r="H468" t="s">
        <v>269</v>
      </c>
      <c r="I468" s="6" t="s">
        <v>746</v>
      </c>
      <c r="J468" s="6" t="s">
        <v>751</v>
      </c>
      <c r="K468" s="6">
        <v>8</v>
      </c>
    </row>
    <row r="469" spans="5:11" x14ac:dyDescent="0.25">
      <c r="E469" s="20" t="s">
        <v>59</v>
      </c>
      <c r="F469" s="19" t="str">
        <f>IFERROR(_xlfn.XLOOKUP(E469,#REF!,#REF!), "")</f>
        <v/>
      </c>
      <c r="G469" s="20" t="s">
        <v>551</v>
      </c>
      <c r="H469" t="s">
        <v>270</v>
      </c>
      <c r="I469" s="6" t="s">
        <v>747</v>
      </c>
      <c r="J469" s="6" t="s">
        <v>751</v>
      </c>
      <c r="K469" s="6">
        <v>129378</v>
      </c>
    </row>
    <row r="470" spans="5:11" x14ac:dyDescent="0.25">
      <c r="E470" s="20" t="s">
        <v>60</v>
      </c>
      <c r="F470" s="19" t="str">
        <f>IFERROR(_xlfn.XLOOKUP(E470,#REF!,#REF!), "")</f>
        <v/>
      </c>
      <c r="G470" s="20" t="s">
        <v>552</v>
      </c>
      <c r="H470" t="s">
        <v>271</v>
      </c>
      <c r="I470" s="6" t="s">
        <v>748</v>
      </c>
      <c r="J470" s="6" t="s">
        <v>751</v>
      </c>
      <c r="K470" s="6">
        <v>4120</v>
      </c>
    </row>
    <row r="471" spans="5:11" x14ac:dyDescent="0.25">
      <c r="E471" s="20" t="s">
        <v>60</v>
      </c>
      <c r="F471" s="19" t="str">
        <f>IFERROR(_xlfn.XLOOKUP(E471,#REF!,#REF!), "")</f>
        <v/>
      </c>
      <c r="G471" s="20" t="s">
        <v>553</v>
      </c>
      <c r="H471" t="s">
        <v>272</v>
      </c>
      <c r="I471" s="6" t="s">
        <v>749</v>
      </c>
      <c r="J471" s="6" t="s">
        <v>751</v>
      </c>
      <c r="K471" s="6">
        <v>520000</v>
      </c>
    </row>
    <row r="472" spans="5:11" x14ac:dyDescent="0.25">
      <c r="E472" s="20" t="s">
        <v>60</v>
      </c>
      <c r="F472" s="19" t="str">
        <f>IFERROR(_xlfn.XLOOKUP(E472,#REF!,#REF!), "")</f>
        <v/>
      </c>
      <c r="G472" s="20" t="s">
        <v>554</v>
      </c>
      <c r="H472" t="s">
        <v>273</v>
      </c>
      <c r="I472" s="6" t="s">
        <v>743</v>
      </c>
      <c r="J472" s="6" t="s">
        <v>751</v>
      </c>
      <c r="K472" s="6">
        <v>6</v>
      </c>
    </row>
    <row r="473" spans="5:11" x14ac:dyDescent="0.25">
      <c r="E473" s="20" t="s">
        <v>61</v>
      </c>
      <c r="F473" s="19" t="str">
        <f>IFERROR(_xlfn.XLOOKUP(E473,#REF!,#REF!), "")</f>
        <v/>
      </c>
      <c r="G473" s="20" t="s">
        <v>555</v>
      </c>
      <c r="H473" t="s">
        <v>274</v>
      </c>
      <c r="I473" s="6" t="s">
        <v>750</v>
      </c>
      <c r="J473" s="6" t="s">
        <v>752</v>
      </c>
      <c r="K473" s="6">
        <v>70</v>
      </c>
    </row>
    <row r="474" spans="5:11" x14ac:dyDescent="0.25">
      <c r="E474" s="20" t="s">
        <v>61</v>
      </c>
      <c r="F474" s="19" t="str">
        <f>IFERROR(_xlfn.XLOOKUP(E474,#REF!,#REF!), "")</f>
        <v/>
      </c>
      <c r="G474" s="20" t="s">
        <v>556</v>
      </c>
      <c r="H474" t="s">
        <v>275</v>
      </c>
      <c r="I474" s="6" t="s">
        <v>750</v>
      </c>
      <c r="J474" s="6" t="s">
        <v>752</v>
      </c>
      <c r="K474" s="6">
        <v>80</v>
      </c>
    </row>
    <row r="475" spans="5:11" x14ac:dyDescent="0.25">
      <c r="E475" s="20" t="s">
        <v>61</v>
      </c>
      <c r="F475" s="19" t="str">
        <f>IFERROR(_xlfn.XLOOKUP(E475,#REF!,#REF!), "")</f>
        <v/>
      </c>
      <c r="G475" s="20" t="s">
        <v>557</v>
      </c>
      <c r="H475" t="s">
        <v>276</v>
      </c>
      <c r="I475" s="6" t="s">
        <v>753</v>
      </c>
      <c r="J475" s="6" t="s">
        <v>751</v>
      </c>
      <c r="K475" s="6">
        <v>2</v>
      </c>
    </row>
    <row r="476" spans="5:11" x14ac:dyDescent="0.25">
      <c r="E476" s="20" t="s">
        <v>62</v>
      </c>
      <c r="F476" s="19" t="str">
        <f>IFERROR(_xlfn.XLOOKUP(E476,#REF!,#REF!), "")</f>
        <v/>
      </c>
      <c r="G476" s="20" t="s">
        <v>558</v>
      </c>
      <c r="H476" t="s">
        <v>277</v>
      </c>
      <c r="I476" s="6" t="s">
        <v>761</v>
      </c>
      <c r="J476" s="6" t="s">
        <v>752</v>
      </c>
      <c r="K476" s="6">
        <v>80</v>
      </c>
    </row>
    <row r="477" spans="5:11" x14ac:dyDescent="0.25">
      <c r="E477" s="20" t="s">
        <v>62</v>
      </c>
      <c r="F477" s="19" t="str">
        <f>IFERROR(_xlfn.XLOOKUP(E477,#REF!,#REF!), "")</f>
        <v/>
      </c>
      <c r="G477" s="20" t="s">
        <v>559</v>
      </c>
      <c r="H477" t="s">
        <v>278</v>
      </c>
      <c r="I477" s="6" t="s">
        <v>723</v>
      </c>
      <c r="J477" s="6" t="s">
        <v>751</v>
      </c>
      <c r="K477" s="6">
        <v>12</v>
      </c>
    </row>
    <row r="478" spans="5:11" x14ac:dyDescent="0.25">
      <c r="E478" s="20" t="s">
        <v>62</v>
      </c>
      <c r="F478" s="19" t="str">
        <f>IFERROR(_xlfn.XLOOKUP(E478,#REF!,#REF!), "")</f>
        <v/>
      </c>
      <c r="G478" s="20" t="s">
        <v>560</v>
      </c>
      <c r="H478" t="s">
        <v>279</v>
      </c>
      <c r="I478" s="6" t="s">
        <v>754</v>
      </c>
      <c r="J478" s="6" t="s">
        <v>752</v>
      </c>
      <c r="K478" s="6">
        <v>100</v>
      </c>
    </row>
    <row r="479" spans="5:11" x14ac:dyDescent="0.25">
      <c r="E479" s="20" t="s">
        <v>62</v>
      </c>
      <c r="F479" s="19" t="str">
        <f>IFERROR(_xlfn.XLOOKUP(E479,#REF!,#REF!), "")</f>
        <v/>
      </c>
      <c r="G479" s="20" t="s">
        <v>561</v>
      </c>
      <c r="H479" t="s">
        <v>280</v>
      </c>
      <c r="I479" s="6" t="s">
        <v>755</v>
      </c>
      <c r="J479" s="6" t="s">
        <v>752</v>
      </c>
      <c r="K479" s="6">
        <v>10</v>
      </c>
    </row>
    <row r="480" spans="5:11" x14ac:dyDescent="0.25">
      <c r="E480" s="20" t="s">
        <v>63</v>
      </c>
      <c r="F480" s="19" t="str">
        <f>IFERROR(_xlfn.XLOOKUP(E480,#REF!,#REF!), "")</f>
        <v/>
      </c>
      <c r="G480" s="20" t="s">
        <v>562</v>
      </c>
      <c r="H480" t="s">
        <v>281</v>
      </c>
      <c r="I480" s="6" t="s">
        <v>758</v>
      </c>
      <c r="J480" s="6" t="s">
        <v>752</v>
      </c>
      <c r="K480" s="6">
        <v>90</v>
      </c>
    </row>
    <row r="481" spans="5:11" x14ac:dyDescent="0.25">
      <c r="E481" s="20" t="s">
        <v>63</v>
      </c>
      <c r="F481" s="19" t="str">
        <f>IFERROR(_xlfn.XLOOKUP(E481,#REF!,#REF!), "")</f>
        <v/>
      </c>
      <c r="G481" s="20" t="s">
        <v>563</v>
      </c>
      <c r="H481" t="s">
        <v>282</v>
      </c>
      <c r="I481" s="6" t="s">
        <v>759</v>
      </c>
      <c r="J481" s="6" t="s">
        <v>752</v>
      </c>
      <c r="K481" s="6">
        <v>100</v>
      </c>
    </row>
    <row r="482" spans="5:11" x14ac:dyDescent="0.25">
      <c r="E482" s="20" t="s">
        <v>63</v>
      </c>
      <c r="F482" s="19" t="str">
        <f>IFERROR(_xlfn.XLOOKUP(E482,#REF!,#REF!), "")</f>
        <v/>
      </c>
      <c r="G482" s="20" t="s">
        <v>564</v>
      </c>
      <c r="H482" t="s">
        <v>283</v>
      </c>
      <c r="I482" s="6" t="s">
        <v>756</v>
      </c>
      <c r="J482" s="6" t="s">
        <v>751</v>
      </c>
      <c r="K482" s="6">
        <v>1</v>
      </c>
    </row>
    <row r="483" spans="5:11" x14ac:dyDescent="0.25">
      <c r="E483" s="20" t="s">
        <v>63</v>
      </c>
      <c r="F483" s="19" t="str">
        <f>IFERROR(_xlfn.XLOOKUP(E483,#REF!,#REF!), "")</f>
        <v/>
      </c>
      <c r="G483" s="20" t="s">
        <v>565</v>
      </c>
      <c r="H483" t="s">
        <v>284</v>
      </c>
      <c r="I483" s="6" t="s">
        <v>757</v>
      </c>
      <c r="J483" s="6" t="s">
        <v>751</v>
      </c>
      <c r="K483" s="6">
        <v>1</v>
      </c>
    </row>
    <row r="484" spans="5:11" x14ac:dyDescent="0.25">
      <c r="E484" s="20" t="s">
        <v>64</v>
      </c>
      <c r="F484" s="19" t="str">
        <f>IFERROR(_xlfn.XLOOKUP(E484,#REF!,#REF!), "")</f>
        <v/>
      </c>
      <c r="G484" s="20" t="s">
        <v>566</v>
      </c>
      <c r="H484" t="s">
        <v>285</v>
      </c>
      <c r="I484" s="6" t="s">
        <v>760</v>
      </c>
      <c r="J484" s="6" t="s">
        <v>752</v>
      </c>
      <c r="K484" s="6">
        <v>100</v>
      </c>
    </row>
    <row r="485" spans="5:11" x14ac:dyDescent="0.25">
      <c r="E485" s="20" t="s">
        <v>64</v>
      </c>
      <c r="F485" s="19" t="str">
        <f>IFERROR(_xlfn.XLOOKUP(E485,#REF!,#REF!), "")</f>
        <v/>
      </c>
      <c r="G485" s="20" t="s">
        <v>567</v>
      </c>
      <c r="H485" t="s">
        <v>286</v>
      </c>
      <c r="I485" s="6" t="s">
        <v>762</v>
      </c>
      <c r="J485" s="6" t="s">
        <v>752</v>
      </c>
      <c r="K485" s="6">
        <v>90</v>
      </c>
    </row>
    <row r="486" spans="5:11" x14ac:dyDescent="0.25">
      <c r="E486" s="20" t="s">
        <v>64</v>
      </c>
      <c r="F486" s="19" t="str">
        <f>IFERROR(_xlfn.XLOOKUP(E486,#REF!,#REF!), "")</f>
        <v/>
      </c>
      <c r="G486" s="20" t="s">
        <v>568</v>
      </c>
      <c r="H486" t="s">
        <v>287</v>
      </c>
      <c r="I486" s="6" t="s">
        <v>763</v>
      </c>
      <c r="J486" s="6" t="s">
        <v>751</v>
      </c>
      <c r="K486" s="6">
        <v>1</v>
      </c>
    </row>
    <row r="487" spans="5:11" x14ac:dyDescent="0.25">
      <c r="E487" s="20" t="s">
        <v>64</v>
      </c>
      <c r="F487" s="19" t="str">
        <f>IFERROR(_xlfn.XLOOKUP(E487,#REF!,#REF!), "")</f>
        <v/>
      </c>
      <c r="G487" s="20" t="s">
        <v>569</v>
      </c>
      <c r="H487" t="s">
        <v>288</v>
      </c>
      <c r="I487" s="6" t="s">
        <v>753</v>
      </c>
      <c r="J487" s="6" t="s">
        <v>751</v>
      </c>
      <c r="K487" s="6">
        <v>1</v>
      </c>
    </row>
    <row r="488" spans="5:11" x14ac:dyDescent="0.25">
      <c r="E488" s="20" t="s">
        <v>65</v>
      </c>
      <c r="F488" s="19" t="str">
        <f>IFERROR(_xlfn.XLOOKUP(E488,#REF!,#REF!), "")</f>
        <v/>
      </c>
      <c r="G488" s="20" t="s">
        <v>570</v>
      </c>
      <c r="H488" t="s">
        <v>289</v>
      </c>
      <c r="I488" s="6" t="s">
        <v>764</v>
      </c>
      <c r="J488" s="6" t="s">
        <v>751</v>
      </c>
      <c r="K488" s="6">
        <v>75690</v>
      </c>
    </row>
    <row r="489" spans="5:11" x14ac:dyDescent="0.25">
      <c r="E489" s="20" t="s">
        <v>65</v>
      </c>
      <c r="F489" s="19" t="str">
        <f>IFERROR(_xlfn.XLOOKUP(E489,#REF!,#REF!), "")</f>
        <v/>
      </c>
      <c r="G489" s="20" t="s">
        <v>571</v>
      </c>
      <c r="H489" t="s">
        <v>290</v>
      </c>
      <c r="I489" s="6" t="s">
        <v>765</v>
      </c>
      <c r="J489" s="6" t="s">
        <v>751</v>
      </c>
      <c r="K489" s="6">
        <v>19</v>
      </c>
    </row>
    <row r="490" spans="5:11" x14ac:dyDescent="0.25">
      <c r="E490" s="20" t="s">
        <v>65</v>
      </c>
      <c r="F490" s="19" t="str">
        <f>IFERROR(_xlfn.XLOOKUP(E490,#REF!,#REF!), "")</f>
        <v/>
      </c>
      <c r="G490" s="20" t="s">
        <v>572</v>
      </c>
      <c r="H490" t="s">
        <v>291</v>
      </c>
      <c r="I490" s="6" t="s">
        <v>765</v>
      </c>
      <c r="J490" s="6" t="s">
        <v>751</v>
      </c>
      <c r="K490" s="6">
        <v>19</v>
      </c>
    </row>
    <row r="491" spans="5:11" x14ac:dyDescent="0.25">
      <c r="E491" s="20" t="s">
        <v>65</v>
      </c>
      <c r="F491" s="19" t="str">
        <f>IFERROR(_xlfn.XLOOKUP(E491,#REF!,#REF!), "")</f>
        <v/>
      </c>
      <c r="G491" s="20" t="s">
        <v>573</v>
      </c>
      <c r="H491" t="s">
        <v>292</v>
      </c>
      <c r="I491" s="6" t="s">
        <v>766</v>
      </c>
      <c r="J491" s="6" t="s">
        <v>751</v>
      </c>
      <c r="K491" s="6">
        <v>3000</v>
      </c>
    </row>
    <row r="492" spans="5:11" x14ac:dyDescent="0.25">
      <c r="E492" s="20" t="s">
        <v>65</v>
      </c>
      <c r="F492" s="19" t="str">
        <f>IFERROR(_xlfn.XLOOKUP(E492,#REF!,#REF!), "")</f>
        <v/>
      </c>
      <c r="G492" s="20" t="s">
        <v>574</v>
      </c>
      <c r="H492" t="s">
        <v>293</v>
      </c>
      <c r="I492" s="6" t="s">
        <v>767</v>
      </c>
      <c r="J492" s="6" t="s">
        <v>751</v>
      </c>
      <c r="K492" s="6">
        <v>18000</v>
      </c>
    </row>
    <row r="493" spans="5:11" x14ac:dyDescent="0.25">
      <c r="E493" s="20" t="s">
        <v>65</v>
      </c>
      <c r="F493" s="19" t="str">
        <f>IFERROR(_xlfn.XLOOKUP(E493,#REF!,#REF!), "")</f>
        <v/>
      </c>
      <c r="G493" s="20" t="s">
        <v>575</v>
      </c>
      <c r="H493" t="s">
        <v>294</v>
      </c>
      <c r="I493" s="6" t="s">
        <v>768</v>
      </c>
      <c r="J493" s="6" t="s">
        <v>751</v>
      </c>
      <c r="K493" s="6">
        <v>10</v>
      </c>
    </row>
    <row r="494" spans="5:11" x14ac:dyDescent="0.25">
      <c r="E494" s="20" t="s">
        <v>66</v>
      </c>
      <c r="F494" s="19" t="str">
        <f>IFERROR(_xlfn.XLOOKUP(E494,#REF!,#REF!), "")</f>
        <v/>
      </c>
      <c r="G494" s="20" t="s">
        <v>576</v>
      </c>
      <c r="H494" t="s">
        <v>295</v>
      </c>
      <c r="I494" s="6" t="s">
        <v>769</v>
      </c>
      <c r="J494" s="6" t="s">
        <v>751</v>
      </c>
      <c r="K494" s="6">
        <v>56</v>
      </c>
    </row>
    <row r="495" spans="5:11" x14ac:dyDescent="0.25">
      <c r="E495" s="20" t="s">
        <v>66</v>
      </c>
      <c r="F495" s="19" t="str">
        <f>IFERROR(_xlfn.XLOOKUP(E495,#REF!,#REF!), "")</f>
        <v/>
      </c>
      <c r="G495" s="20" t="s">
        <v>577</v>
      </c>
      <c r="H495" t="s">
        <v>296</v>
      </c>
      <c r="I495" s="6" t="s">
        <v>770</v>
      </c>
      <c r="J495" s="6" t="s">
        <v>751</v>
      </c>
      <c r="K495" s="6">
        <v>243066</v>
      </c>
    </row>
    <row r="496" spans="5:11" x14ac:dyDescent="0.25">
      <c r="E496" s="20" t="s">
        <v>66</v>
      </c>
      <c r="F496" s="19" t="str">
        <f>IFERROR(_xlfn.XLOOKUP(E496,#REF!,#REF!), "")</f>
        <v/>
      </c>
      <c r="G496" s="20" t="s">
        <v>578</v>
      </c>
      <c r="H496" t="s">
        <v>297</v>
      </c>
      <c r="I496" s="6" t="s">
        <v>770</v>
      </c>
      <c r="J496" s="6" t="s">
        <v>751</v>
      </c>
      <c r="K496" s="6">
        <v>268138</v>
      </c>
    </row>
    <row r="497" spans="5:11" x14ac:dyDescent="0.25">
      <c r="E497" s="20" t="s">
        <v>66</v>
      </c>
      <c r="F497" s="19" t="str">
        <f>IFERROR(_xlfn.XLOOKUP(E497,#REF!,#REF!), "")</f>
        <v/>
      </c>
      <c r="G497" s="20" t="s">
        <v>579</v>
      </c>
      <c r="H497" t="s">
        <v>298</v>
      </c>
      <c r="I497" s="6" t="s">
        <v>770</v>
      </c>
      <c r="J497" s="6" t="s">
        <v>751</v>
      </c>
      <c r="K497" s="6">
        <v>397884</v>
      </c>
    </row>
    <row r="498" spans="5:11" x14ac:dyDescent="0.25">
      <c r="E498" s="20" t="s">
        <v>66</v>
      </c>
      <c r="F498" s="19" t="str">
        <f>IFERROR(_xlfn.XLOOKUP(E498,#REF!,#REF!), "")</f>
        <v/>
      </c>
      <c r="G498" s="20" t="s">
        <v>580</v>
      </c>
      <c r="H498" t="s">
        <v>299</v>
      </c>
      <c r="I498" s="6" t="s">
        <v>770</v>
      </c>
      <c r="J498" s="6" t="s">
        <v>751</v>
      </c>
      <c r="K498" s="6">
        <v>297190</v>
      </c>
    </row>
    <row r="499" spans="5:11" x14ac:dyDescent="0.25">
      <c r="E499" s="20" t="s">
        <v>66</v>
      </c>
      <c r="F499" s="19" t="str">
        <f>IFERROR(_xlfn.XLOOKUP(E499,#REF!,#REF!), "")</f>
        <v/>
      </c>
      <c r="G499" s="20" t="s">
        <v>581</v>
      </c>
      <c r="H499" t="s">
        <v>300</v>
      </c>
      <c r="I499" s="6" t="s">
        <v>770</v>
      </c>
      <c r="J499" s="6" t="s">
        <v>751</v>
      </c>
      <c r="K499" s="6">
        <v>202718</v>
      </c>
    </row>
    <row r="500" spans="5:11" x14ac:dyDescent="0.25">
      <c r="E500" s="20" t="s">
        <v>66</v>
      </c>
      <c r="F500" s="19" t="str">
        <f>IFERROR(_xlfn.XLOOKUP(E500,#REF!,#REF!), "")</f>
        <v/>
      </c>
      <c r="G500" s="20" t="s">
        <v>582</v>
      </c>
      <c r="H500" t="s">
        <v>301</v>
      </c>
      <c r="I500" s="6" t="s">
        <v>770</v>
      </c>
      <c r="J500" s="6" t="s">
        <v>751</v>
      </c>
      <c r="K500" s="6">
        <v>465600</v>
      </c>
    </row>
    <row r="501" spans="5:11" x14ac:dyDescent="0.25">
      <c r="E501" s="20" t="s">
        <v>66</v>
      </c>
      <c r="F501" s="19" t="str">
        <f>IFERROR(_xlfn.XLOOKUP(E501,#REF!,#REF!), "")</f>
        <v/>
      </c>
      <c r="G501" s="20" t="s">
        <v>583</v>
      </c>
      <c r="H501" t="s">
        <v>302</v>
      </c>
      <c r="I501" s="6" t="s">
        <v>770</v>
      </c>
      <c r="J501" s="6" t="s">
        <v>751</v>
      </c>
      <c r="K501" s="6">
        <v>73131</v>
      </c>
    </row>
    <row r="502" spans="5:11" x14ac:dyDescent="0.25">
      <c r="E502" s="20" t="s">
        <v>67</v>
      </c>
      <c r="F502" s="19" t="str">
        <f>IFERROR(_xlfn.XLOOKUP(E502,#REF!,#REF!), "")</f>
        <v/>
      </c>
      <c r="G502" s="20" t="s">
        <v>584</v>
      </c>
      <c r="H502" t="s">
        <v>303</v>
      </c>
      <c r="I502" s="6" t="s">
        <v>718</v>
      </c>
      <c r="J502" s="6" t="s">
        <v>751</v>
      </c>
      <c r="K502" s="6">
        <v>56</v>
      </c>
    </row>
    <row r="503" spans="5:11" x14ac:dyDescent="0.25">
      <c r="E503" s="20" t="s">
        <v>67</v>
      </c>
      <c r="F503" s="19" t="str">
        <f>IFERROR(_xlfn.XLOOKUP(E503,#REF!,#REF!), "")</f>
        <v/>
      </c>
      <c r="G503" s="20" t="s">
        <v>585</v>
      </c>
      <c r="H503" t="s">
        <v>304</v>
      </c>
      <c r="I503" s="6" t="s">
        <v>771</v>
      </c>
      <c r="J503" s="6" t="s">
        <v>751</v>
      </c>
      <c r="K503" s="6">
        <v>56</v>
      </c>
    </row>
    <row r="504" spans="5:11" x14ac:dyDescent="0.25">
      <c r="E504" s="20" t="s">
        <v>68</v>
      </c>
      <c r="F504" s="19" t="str">
        <f>IFERROR(_xlfn.XLOOKUP(E504,#REF!,#REF!), "")</f>
        <v/>
      </c>
      <c r="G504" s="20" t="s">
        <v>586</v>
      </c>
      <c r="H504" t="s">
        <v>305</v>
      </c>
      <c r="I504" s="6" t="s">
        <v>772</v>
      </c>
      <c r="J504" s="6" t="s">
        <v>751</v>
      </c>
      <c r="K504" s="6">
        <v>45</v>
      </c>
    </row>
    <row r="505" spans="5:11" x14ac:dyDescent="0.25">
      <c r="E505" s="20" t="s">
        <v>68</v>
      </c>
      <c r="F505" s="19" t="str">
        <f>IFERROR(_xlfn.XLOOKUP(E505,#REF!,#REF!), "")</f>
        <v/>
      </c>
      <c r="G505" s="20" t="s">
        <v>587</v>
      </c>
      <c r="H505" t="s">
        <v>306</v>
      </c>
      <c r="I505" s="6" t="s">
        <v>773</v>
      </c>
      <c r="J505" s="6" t="s">
        <v>751</v>
      </c>
      <c r="K505" s="6">
        <v>50</v>
      </c>
    </row>
    <row r="506" spans="5:11" x14ac:dyDescent="0.25">
      <c r="E506" s="20" t="s">
        <v>68</v>
      </c>
      <c r="F506" s="19" t="str">
        <f>IFERROR(_xlfn.XLOOKUP(E506,#REF!,#REF!), "")</f>
        <v/>
      </c>
      <c r="G506" s="20" t="s">
        <v>588</v>
      </c>
      <c r="H506" t="s">
        <v>307</v>
      </c>
      <c r="I506" s="6" t="s">
        <v>774</v>
      </c>
      <c r="J506" s="6" t="s">
        <v>751</v>
      </c>
      <c r="K506" s="6">
        <v>4</v>
      </c>
    </row>
    <row r="507" spans="5:11" x14ac:dyDescent="0.25">
      <c r="E507" s="20" t="s">
        <v>68</v>
      </c>
      <c r="F507" s="19" t="str">
        <f>IFERROR(_xlfn.XLOOKUP(E507,#REF!,#REF!), "")</f>
        <v/>
      </c>
      <c r="G507" s="20" t="s">
        <v>589</v>
      </c>
      <c r="H507" t="s">
        <v>308</v>
      </c>
      <c r="I507" s="6" t="s">
        <v>773</v>
      </c>
      <c r="J507" s="6" t="s">
        <v>751</v>
      </c>
      <c r="K507" s="6">
        <v>260</v>
      </c>
    </row>
    <row r="508" spans="5:11" x14ac:dyDescent="0.25">
      <c r="E508" s="20" t="s">
        <v>68</v>
      </c>
      <c r="F508" s="19" t="str">
        <f>IFERROR(_xlfn.XLOOKUP(E508,#REF!,#REF!), "")</f>
        <v/>
      </c>
      <c r="G508" s="20" t="s">
        <v>590</v>
      </c>
      <c r="H508" t="s">
        <v>309</v>
      </c>
      <c r="I508" s="6" t="s">
        <v>775</v>
      </c>
      <c r="J508" s="6" t="s">
        <v>751</v>
      </c>
      <c r="K508" s="6">
        <v>1500</v>
      </c>
    </row>
    <row r="509" spans="5:11" x14ac:dyDescent="0.25">
      <c r="E509" s="20" t="s">
        <v>69</v>
      </c>
      <c r="F509" s="19" t="str">
        <f>IFERROR(_xlfn.XLOOKUP(E509,#REF!,#REF!), "")</f>
        <v/>
      </c>
      <c r="G509" s="20" t="s">
        <v>591</v>
      </c>
      <c r="H509" t="s">
        <v>310</v>
      </c>
      <c r="I509" s="6" t="s">
        <v>776</v>
      </c>
      <c r="J509" s="6" t="s">
        <v>751</v>
      </c>
      <c r="K509" s="6">
        <v>100</v>
      </c>
    </row>
    <row r="510" spans="5:11" x14ac:dyDescent="0.25">
      <c r="E510" s="20" t="s">
        <v>69</v>
      </c>
      <c r="F510" s="19" t="str">
        <f>IFERROR(_xlfn.XLOOKUP(E510,#REF!,#REF!), "")</f>
        <v/>
      </c>
      <c r="G510" s="20" t="s">
        <v>592</v>
      </c>
      <c r="H510" t="s">
        <v>311</v>
      </c>
      <c r="I510" s="6" t="s">
        <v>776</v>
      </c>
      <c r="J510" s="6" t="s">
        <v>751</v>
      </c>
      <c r="K510" s="6">
        <v>100</v>
      </c>
    </row>
    <row r="511" spans="5:11" x14ac:dyDescent="0.25">
      <c r="E511" s="20" t="s">
        <v>69</v>
      </c>
      <c r="F511" s="19" t="str">
        <f>IFERROR(_xlfn.XLOOKUP(E511,#REF!,#REF!), "")</f>
        <v/>
      </c>
      <c r="G511" s="20" t="s">
        <v>593</v>
      </c>
      <c r="H511" t="s">
        <v>312</v>
      </c>
      <c r="I511" s="6" t="s">
        <v>776</v>
      </c>
      <c r="J511" s="6" t="s">
        <v>751</v>
      </c>
      <c r="K511" s="6">
        <v>50</v>
      </c>
    </row>
    <row r="512" spans="5:11" x14ac:dyDescent="0.25">
      <c r="E512" s="20" t="s">
        <v>69</v>
      </c>
      <c r="F512" s="19" t="str">
        <f>IFERROR(_xlfn.XLOOKUP(E512,#REF!,#REF!), "")</f>
        <v/>
      </c>
      <c r="G512" s="20" t="s">
        <v>594</v>
      </c>
      <c r="H512" t="s">
        <v>313</v>
      </c>
      <c r="I512" s="6" t="s">
        <v>777</v>
      </c>
      <c r="J512" s="6" t="s">
        <v>751</v>
      </c>
      <c r="K512" s="6">
        <v>1</v>
      </c>
    </row>
    <row r="513" spans="5:11" x14ac:dyDescent="0.25">
      <c r="E513" s="20" t="s">
        <v>70</v>
      </c>
      <c r="F513" s="19" t="str">
        <f>IFERROR(_xlfn.XLOOKUP(E513,#REF!,#REF!), "")</f>
        <v/>
      </c>
      <c r="G513" s="20" t="s">
        <v>595</v>
      </c>
      <c r="H513" t="s">
        <v>314</v>
      </c>
      <c r="I513" s="6" t="s">
        <v>778</v>
      </c>
      <c r="J513" s="6" t="s">
        <v>752</v>
      </c>
      <c r="K513" s="6">
        <v>90</v>
      </c>
    </row>
    <row r="514" spans="5:11" x14ac:dyDescent="0.25">
      <c r="E514" s="20" t="s">
        <v>70</v>
      </c>
      <c r="F514" s="19" t="str">
        <f>IFERROR(_xlfn.XLOOKUP(E514,#REF!,#REF!), "")</f>
        <v/>
      </c>
      <c r="G514" s="20" t="s">
        <v>596</v>
      </c>
      <c r="H514" t="s">
        <v>315</v>
      </c>
      <c r="I514" s="6" t="s">
        <v>779</v>
      </c>
      <c r="J514" s="6" t="s">
        <v>751</v>
      </c>
      <c r="K514" s="6">
        <v>250</v>
      </c>
    </row>
    <row r="515" spans="5:11" x14ac:dyDescent="0.25">
      <c r="E515" s="20" t="s">
        <v>70</v>
      </c>
      <c r="F515" s="19" t="str">
        <f>IFERROR(_xlfn.XLOOKUP(E515,#REF!,#REF!), "")</f>
        <v/>
      </c>
      <c r="G515" s="20" t="s">
        <v>597</v>
      </c>
      <c r="H515" t="s">
        <v>316</v>
      </c>
      <c r="I515" s="6" t="s">
        <v>780</v>
      </c>
      <c r="J515" s="6" t="s">
        <v>752</v>
      </c>
      <c r="K515" s="6">
        <v>100</v>
      </c>
    </row>
    <row r="516" spans="5:11" x14ac:dyDescent="0.25">
      <c r="E516" s="20" t="s">
        <v>71</v>
      </c>
      <c r="F516" s="19" t="str">
        <f>IFERROR(_xlfn.XLOOKUP(E516,#REF!,#REF!), "")</f>
        <v/>
      </c>
      <c r="G516" s="20" t="s">
        <v>598</v>
      </c>
      <c r="H516" t="s">
        <v>317</v>
      </c>
      <c r="I516" s="6" t="s">
        <v>781</v>
      </c>
      <c r="J516" s="6" t="s">
        <v>751</v>
      </c>
      <c r="K516" s="6">
        <v>127630</v>
      </c>
    </row>
    <row r="517" spans="5:11" x14ac:dyDescent="0.25">
      <c r="E517" s="20" t="s">
        <v>71</v>
      </c>
      <c r="F517" s="19" t="str">
        <f>IFERROR(_xlfn.XLOOKUP(E517,#REF!,#REF!), "")</f>
        <v/>
      </c>
      <c r="G517" s="20" t="s">
        <v>599</v>
      </c>
      <c r="H517" t="s">
        <v>318</v>
      </c>
      <c r="I517" s="6" t="s">
        <v>782</v>
      </c>
      <c r="J517" s="6" t="s">
        <v>751</v>
      </c>
      <c r="K517" s="6">
        <v>101332</v>
      </c>
    </row>
    <row r="518" spans="5:11" x14ac:dyDescent="0.25">
      <c r="E518" s="20" t="s">
        <v>71</v>
      </c>
      <c r="F518" s="19" t="str">
        <f>IFERROR(_xlfn.XLOOKUP(E518,#REF!,#REF!), "")</f>
        <v/>
      </c>
      <c r="G518" s="20" t="s">
        <v>600</v>
      </c>
      <c r="H518" t="s">
        <v>319</v>
      </c>
      <c r="I518" s="6" t="s">
        <v>783</v>
      </c>
      <c r="J518" s="6" t="s">
        <v>751</v>
      </c>
      <c r="K518" s="6">
        <v>234900</v>
      </c>
    </row>
    <row r="519" spans="5:11" x14ac:dyDescent="0.25">
      <c r="E519" s="20" t="s">
        <v>72</v>
      </c>
      <c r="F519" s="19" t="str">
        <f>IFERROR(_xlfn.XLOOKUP(E519,#REF!,#REF!), "")</f>
        <v/>
      </c>
      <c r="G519" s="20" t="s">
        <v>601</v>
      </c>
      <c r="H519" t="s">
        <v>320</v>
      </c>
      <c r="I519" s="6" t="s">
        <v>784</v>
      </c>
      <c r="J519" s="6" t="s">
        <v>751</v>
      </c>
      <c r="K519" s="6">
        <v>18371</v>
      </c>
    </row>
    <row r="520" spans="5:11" x14ac:dyDescent="0.25">
      <c r="E520" s="20" t="s">
        <v>72</v>
      </c>
      <c r="F520" s="19" t="str">
        <f>IFERROR(_xlfn.XLOOKUP(E520,#REF!,#REF!), "")</f>
        <v/>
      </c>
      <c r="G520" s="20" t="s">
        <v>602</v>
      </c>
      <c r="H520" t="s">
        <v>321</v>
      </c>
      <c r="I520" s="6" t="s">
        <v>784</v>
      </c>
      <c r="J520" s="6" t="s">
        <v>751</v>
      </c>
      <c r="K520" s="6">
        <v>3470</v>
      </c>
    </row>
    <row r="521" spans="5:11" x14ac:dyDescent="0.25">
      <c r="E521" s="20" t="s">
        <v>72</v>
      </c>
      <c r="F521" s="19" t="str">
        <f>IFERROR(_xlfn.XLOOKUP(E521,#REF!,#REF!), "")</f>
        <v/>
      </c>
      <c r="G521" s="20" t="s">
        <v>603</v>
      </c>
      <c r="H521" t="s">
        <v>322</v>
      </c>
      <c r="I521" s="6" t="s">
        <v>784</v>
      </c>
      <c r="J521" s="6" t="s">
        <v>751</v>
      </c>
      <c r="K521" s="6">
        <v>7127</v>
      </c>
    </row>
    <row r="522" spans="5:11" x14ac:dyDescent="0.25">
      <c r="E522" s="20" t="s">
        <v>73</v>
      </c>
      <c r="F522" s="19" t="str">
        <f>IFERROR(_xlfn.XLOOKUP(E522,#REF!,#REF!), "")</f>
        <v/>
      </c>
      <c r="G522" s="20" t="s">
        <v>604</v>
      </c>
      <c r="H522" t="s">
        <v>323</v>
      </c>
      <c r="I522" s="6" t="s">
        <v>785</v>
      </c>
      <c r="J522" s="6" t="s">
        <v>751</v>
      </c>
      <c r="K522" s="6">
        <v>9307</v>
      </c>
    </row>
    <row r="523" spans="5:11" x14ac:dyDescent="0.25">
      <c r="E523" s="20" t="s">
        <v>73</v>
      </c>
      <c r="F523" s="19" t="str">
        <f>IFERROR(_xlfn.XLOOKUP(E523,#REF!,#REF!), "")</f>
        <v/>
      </c>
      <c r="G523" s="20" t="s">
        <v>605</v>
      </c>
      <c r="H523" t="s">
        <v>324</v>
      </c>
      <c r="I523" s="6" t="s">
        <v>785</v>
      </c>
      <c r="J523" s="6" t="s">
        <v>751</v>
      </c>
      <c r="K523" s="6">
        <v>8736</v>
      </c>
    </row>
    <row r="524" spans="5:11" x14ac:dyDescent="0.25">
      <c r="E524" s="20" t="s">
        <v>73</v>
      </c>
      <c r="F524" s="19" t="str">
        <f>IFERROR(_xlfn.XLOOKUP(E524,#REF!,#REF!), "")</f>
        <v/>
      </c>
      <c r="G524" s="20" t="s">
        <v>606</v>
      </c>
      <c r="H524" t="s">
        <v>325</v>
      </c>
      <c r="I524" s="6" t="s">
        <v>785</v>
      </c>
      <c r="J524" s="6" t="s">
        <v>751</v>
      </c>
      <c r="K524" s="6">
        <v>653</v>
      </c>
    </row>
    <row r="525" spans="5:11" x14ac:dyDescent="0.25">
      <c r="E525" s="20" t="s">
        <v>73</v>
      </c>
      <c r="F525" s="19" t="str">
        <f>IFERROR(_xlfn.XLOOKUP(E525,#REF!,#REF!), "")</f>
        <v/>
      </c>
      <c r="G525" s="20" t="s">
        <v>607</v>
      </c>
      <c r="H525" t="s">
        <v>326</v>
      </c>
      <c r="I525" s="6" t="s">
        <v>785</v>
      </c>
      <c r="J525" s="6" t="s">
        <v>751</v>
      </c>
      <c r="K525" s="6">
        <v>12480</v>
      </c>
    </row>
    <row r="526" spans="5:11" x14ac:dyDescent="0.25">
      <c r="E526" s="20" t="s">
        <v>73</v>
      </c>
      <c r="F526" s="19" t="str">
        <f>IFERROR(_xlfn.XLOOKUP(E526,#REF!,#REF!), "")</f>
        <v/>
      </c>
      <c r="G526" s="20" t="s">
        <v>608</v>
      </c>
      <c r="H526" t="s">
        <v>327</v>
      </c>
      <c r="I526" s="6" t="s">
        <v>785</v>
      </c>
      <c r="J526" s="6" t="s">
        <v>751</v>
      </c>
      <c r="K526" s="6">
        <v>3528</v>
      </c>
    </row>
    <row r="527" spans="5:11" x14ac:dyDescent="0.25">
      <c r="E527" s="20" t="s">
        <v>73</v>
      </c>
      <c r="F527" s="19" t="str">
        <f>IFERROR(_xlfn.XLOOKUP(E527,#REF!,#REF!), "")</f>
        <v/>
      </c>
      <c r="G527" s="20" t="s">
        <v>609</v>
      </c>
      <c r="H527" t="s">
        <v>328</v>
      </c>
      <c r="I527" s="6" t="s">
        <v>785</v>
      </c>
      <c r="J527" s="6" t="s">
        <v>751</v>
      </c>
      <c r="K527" s="6">
        <v>1247</v>
      </c>
    </row>
    <row r="528" spans="5:11" x14ac:dyDescent="0.25">
      <c r="E528" s="20" t="s">
        <v>73</v>
      </c>
      <c r="F528" s="19" t="str">
        <f>IFERROR(_xlfn.XLOOKUP(E528,#REF!,#REF!), "")</f>
        <v/>
      </c>
      <c r="G528" s="20" t="s">
        <v>610</v>
      </c>
      <c r="H528" t="s">
        <v>329</v>
      </c>
      <c r="I528" s="6" t="s">
        <v>785</v>
      </c>
      <c r="J528" s="6" t="s">
        <v>751</v>
      </c>
      <c r="K528" s="6">
        <v>2719</v>
      </c>
    </row>
    <row r="529" spans="5:11" x14ac:dyDescent="0.25">
      <c r="E529" s="20" t="s">
        <v>74</v>
      </c>
      <c r="F529" s="19" t="str">
        <f>IFERROR(_xlfn.XLOOKUP(E529,#REF!,#REF!), "")</f>
        <v/>
      </c>
      <c r="G529" s="20" t="s">
        <v>611</v>
      </c>
      <c r="H529" t="s">
        <v>330</v>
      </c>
      <c r="I529" s="6" t="s">
        <v>786</v>
      </c>
      <c r="J529" s="6" t="s">
        <v>751</v>
      </c>
      <c r="K529" s="6">
        <v>839048</v>
      </c>
    </row>
    <row r="530" spans="5:11" x14ac:dyDescent="0.25">
      <c r="E530" s="20" t="s">
        <v>74</v>
      </c>
      <c r="F530" s="19" t="str">
        <f>IFERROR(_xlfn.XLOOKUP(E530,#REF!,#REF!), "")</f>
        <v/>
      </c>
      <c r="G530" s="20" t="s">
        <v>612</v>
      </c>
      <c r="H530" t="s">
        <v>331</v>
      </c>
      <c r="I530" s="6" t="s">
        <v>786</v>
      </c>
      <c r="J530" s="6" t="s">
        <v>751</v>
      </c>
      <c r="K530" s="6">
        <v>475184</v>
      </c>
    </row>
    <row r="531" spans="5:11" x14ac:dyDescent="0.25">
      <c r="E531" s="20" t="s">
        <v>74</v>
      </c>
      <c r="F531" s="19" t="str">
        <f>IFERROR(_xlfn.XLOOKUP(E531,#REF!,#REF!), "")</f>
        <v/>
      </c>
      <c r="G531" s="20" t="s">
        <v>613</v>
      </c>
      <c r="H531" t="s">
        <v>332</v>
      </c>
      <c r="I531" s="6" t="s">
        <v>786</v>
      </c>
      <c r="J531" s="6" t="s">
        <v>751</v>
      </c>
      <c r="K531" s="6">
        <v>168092</v>
      </c>
    </row>
    <row r="532" spans="5:11" x14ac:dyDescent="0.25">
      <c r="E532" s="20" t="s">
        <v>74</v>
      </c>
      <c r="F532" s="19" t="str">
        <f>IFERROR(_xlfn.XLOOKUP(E532,#REF!,#REF!), "")</f>
        <v/>
      </c>
      <c r="G532" s="20" t="s">
        <v>614</v>
      </c>
      <c r="H532" t="s">
        <v>333</v>
      </c>
      <c r="I532" s="6" t="s">
        <v>786</v>
      </c>
      <c r="J532" s="6" t="s">
        <v>751</v>
      </c>
      <c r="K532" s="6">
        <v>97117</v>
      </c>
    </row>
    <row r="533" spans="5:11" x14ac:dyDescent="0.25">
      <c r="E533" s="20" t="s">
        <v>74</v>
      </c>
      <c r="F533" s="19" t="str">
        <f>IFERROR(_xlfn.XLOOKUP(E533,#REF!,#REF!), "")</f>
        <v/>
      </c>
      <c r="G533" s="20" t="s">
        <v>615</v>
      </c>
      <c r="H533" t="s">
        <v>334</v>
      </c>
      <c r="I533" s="6" t="s">
        <v>786</v>
      </c>
      <c r="J533" s="6" t="s">
        <v>751</v>
      </c>
      <c r="K533" s="6">
        <v>7536</v>
      </c>
    </row>
    <row r="534" spans="5:11" x14ac:dyDescent="0.25">
      <c r="E534" s="20" t="s">
        <v>75</v>
      </c>
      <c r="F534" s="19" t="str">
        <f>IFERROR(_xlfn.XLOOKUP(E534,#REF!,#REF!), "")</f>
        <v/>
      </c>
      <c r="G534" s="20" t="s">
        <v>616</v>
      </c>
      <c r="H534" t="s">
        <v>335</v>
      </c>
      <c r="I534" s="6" t="s">
        <v>787</v>
      </c>
      <c r="J534" s="6" t="s">
        <v>751</v>
      </c>
      <c r="K534" s="6">
        <v>1</v>
      </c>
    </row>
    <row r="535" spans="5:11" x14ac:dyDescent="0.25">
      <c r="E535" s="20" t="s">
        <v>75</v>
      </c>
      <c r="F535" s="19" t="str">
        <f>IFERROR(_xlfn.XLOOKUP(E535,#REF!,#REF!), "")</f>
        <v/>
      </c>
      <c r="G535" s="20" t="s">
        <v>617</v>
      </c>
      <c r="H535" t="s">
        <v>336</v>
      </c>
      <c r="I535" s="6" t="s">
        <v>787</v>
      </c>
      <c r="J535" s="6" t="s">
        <v>751</v>
      </c>
      <c r="K535" s="6">
        <v>1</v>
      </c>
    </row>
    <row r="536" spans="5:11" x14ac:dyDescent="0.25">
      <c r="E536" s="20" t="s">
        <v>75</v>
      </c>
      <c r="F536" s="19" t="str">
        <f>IFERROR(_xlfn.XLOOKUP(E536,#REF!,#REF!), "")</f>
        <v/>
      </c>
      <c r="G536" s="20" t="s">
        <v>618</v>
      </c>
      <c r="H536" t="s">
        <v>337</v>
      </c>
      <c r="I536" s="6" t="s">
        <v>788</v>
      </c>
      <c r="J536" s="6" t="s">
        <v>751</v>
      </c>
      <c r="K536" s="6">
        <v>1000</v>
      </c>
    </row>
    <row r="537" spans="5:11" x14ac:dyDescent="0.25">
      <c r="E537" s="20" t="s">
        <v>75</v>
      </c>
      <c r="F537" s="19" t="str">
        <f>IFERROR(_xlfn.XLOOKUP(E537,#REF!,#REF!), "")</f>
        <v/>
      </c>
      <c r="G537" s="20" t="s">
        <v>619</v>
      </c>
      <c r="H537" t="s">
        <v>338</v>
      </c>
      <c r="I537" s="6" t="s">
        <v>725</v>
      </c>
      <c r="J537" s="6" t="s">
        <v>751</v>
      </c>
      <c r="K537" s="6">
        <v>1500</v>
      </c>
    </row>
    <row r="538" spans="5:11" x14ac:dyDescent="0.25">
      <c r="E538" s="20" t="s">
        <v>76</v>
      </c>
      <c r="F538" s="19" t="str">
        <f>IFERROR(_xlfn.XLOOKUP(E538,#REF!,#REF!), "")</f>
        <v/>
      </c>
      <c r="G538" s="20" t="s">
        <v>620</v>
      </c>
      <c r="H538" t="s">
        <v>339</v>
      </c>
      <c r="I538" s="6" t="s">
        <v>789</v>
      </c>
      <c r="J538" s="6" t="s">
        <v>751</v>
      </c>
      <c r="K538" s="6">
        <v>1500</v>
      </c>
    </row>
    <row r="539" spans="5:11" x14ac:dyDescent="0.25">
      <c r="E539" s="20" t="s">
        <v>76</v>
      </c>
      <c r="F539" s="19" t="str">
        <f>IFERROR(_xlfn.XLOOKUP(E539,#REF!,#REF!), "")</f>
        <v/>
      </c>
      <c r="G539" s="20" t="s">
        <v>621</v>
      </c>
      <c r="H539" t="s">
        <v>340</v>
      </c>
      <c r="I539" s="6" t="s">
        <v>736</v>
      </c>
      <c r="J539" s="6" t="s">
        <v>751</v>
      </c>
      <c r="K539" s="6">
        <v>1</v>
      </c>
    </row>
    <row r="540" spans="5:11" x14ac:dyDescent="0.25">
      <c r="E540" s="20" t="s">
        <v>77</v>
      </c>
      <c r="F540" s="19" t="str">
        <f>IFERROR(_xlfn.XLOOKUP(E540,#REF!,#REF!), "")</f>
        <v/>
      </c>
      <c r="G540" s="20" t="s">
        <v>622</v>
      </c>
      <c r="H540" t="s">
        <v>341</v>
      </c>
      <c r="I540" s="6" t="s">
        <v>790</v>
      </c>
      <c r="J540" s="6" t="s">
        <v>751</v>
      </c>
      <c r="K540" s="6">
        <v>1</v>
      </c>
    </row>
    <row r="541" spans="5:11" x14ac:dyDescent="0.25">
      <c r="E541" s="20" t="s">
        <v>77</v>
      </c>
      <c r="F541" s="19" t="str">
        <f>IFERROR(_xlfn.XLOOKUP(E541,#REF!,#REF!), "")</f>
        <v/>
      </c>
      <c r="G541" s="20" t="s">
        <v>623</v>
      </c>
      <c r="H541" t="s">
        <v>342</v>
      </c>
      <c r="I541" s="6" t="s">
        <v>790</v>
      </c>
      <c r="J541" s="6" t="s">
        <v>751</v>
      </c>
      <c r="K541" s="6">
        <v>1</v>
      </c>
    </row>
    <row r="542" spans="5:11" x14ac:dyDescent="0.25">
      <c r="E542" s="20" t="s">
        <v>77</v>
      </c>
      <c r="F542" s="19" t="str">
        <f>IFERROR(_xlfn.XLOOKUP(E542,#REF!,#REF!), "")</f>
        <v/>
      </c>
      <c r="G542" s="20" t="s">
        <v>624</v>
      </c>
      <c r="H542" t="s">
        <v>343</v>
      </c>
      <c r="I542" s="6" t="s">
        <v>790</v>
      </c>
      <c r="J542" s="6" t="s">
        <v>751</v>
      </c>
      <c r="K542" s="6">
        <v>1</v>
      </c>
    </row>
    <row r="543" spans="5:11" x14ac:dyDescent="0.25">
      <c r="E543" s="20" t="s">
        <v>77</v>
      </c>
      <c r="F543" s="19" t="str">
        <f>IFERROR(_xlfn.XLOOKUP(E543,#REF!,#REF!), "")</f>
        <v/>
      </c>
      <c r="G543" s="20" t="s">
        <v>625</v>
      </c>
      <c r="H543" t="s">
        <v>344</v>
      </c>
      <c r="I543" s="6" t="s">
        <v>790</v>
      </c>
      <c r="J543" s="6" t="s">
        <v>751</v>
      </c>
      <c r="K543" s="6">
        <v>1</v>
      </c>
    </row>
    <row r="544" spans="5:11" x14ac:dyDescent="0.25">
      <c r="E544" s="20" t="s">
        <v>77</v>
      </c>
      <c r="F544" s="19" t="str">
        <f>IFERROR(_xlfn.XLOOKUP(E544,#REF!,#REF!), "")</f>
        <v/>
      </c>
      <c r="G544" s="20" t="s">
        <v>626</v>
      </c>
      <c r="H544" t="s">
        <v>345</v>
      </c>
      <c r="I544" s="6" t="s">
        <v>790</v>
      </c>
      <c r="J544" s="6" t="s">
        <v>751</v>
      </c>
      <c r="K544" s="6">
        <v>1</v>
      </c>
    </row>
    <row r="545" spans="5:11" x14ac:dyDescent="0.25">
      <c r="E545" s="20" t="s">
        <v>77</v>
      </c>
      <c r="F545" s="19" t="str">
        <f>IFERROR(_xlfn.XLOOKUP(E545,#REF!,#REF!), "")</f>
        <v/>
      </c>
      <c r="G545" s="20" t="s">
        <v>627</v>
      </c>
      <c r="H545" t="s">
        <v>346</v>
      </c>
      <c r="I545" s="6" t="s">
        <v>790</v>
      </c>
      <c r="J545" s="6" t="s">
        <v>751</v>
      </c>
      <c r="K545" s="6">
        <v>1</v>
      </c>
    </row>
    <row r="546" spans="5:11" x14ac:dyDescent="0.25">
      <c r="E546" s="20" t="s">
        <v>77</v>
      </c>
      <c r="F546" s="19" t="str">
        <f>IFERROR(_xlfn.XLOOKUP(E546,#REF!,#REF!), "")</f>
        <v/>
      </c>
      <c r="G546" s="20" t="s">
        <v>628</v>
      </c>
      <c r="H546" t="s">
        <v>347</v>
      </c>
      <c r="I546" s="6" t="s">
        <v>790</v>
      </c>
      <c r="J546" s="6" t="s">
        <v>751</v>
      </c>
      <c r="K546" s="6">
        <v>1</v>
      </c>
    </row>
    <row r="547" spans="5:11" x14ac:dyDescent="0.25">
      <c r="E547" s="20" t="s">
        <v>77</v>
      </c>
      <c r="F547" s="19" t="str">
        <f>IFERROR(_xlfn.XLOOKUP(E547,#REF!,#REF!), "")</f>
        <v/>
      </c>
      <c r="G547" s="20" t="s">
        <v>629</v>
      </c>
      <c r="H547" t="s">
        <v>348</v>
      </c>
      <c r="I547" s="6" t="s">
        <v>790</v>
      </c>
      <c r="J547" s="6" t="s">
        <v>751</v>
      </c>
      <c r="K547" s="6">
        <v>1</v>
      </c>
    </row>
    <row r="548" spans="5:11" x14ac:dyDescent="0.25">
      <c r="E548" s="20" t="s">
        <v>77</v>
      </c>
      <c r="F548" s="19" t="str">
        <f>IFERROR(_xlfn.XLOOKUP(E548,#REF!,#REF!), "")</f>
        <v/>
      </c>
      <c r="G548" s="20" t="s">
        <v>630</v>
      </c>
      <c r="H548" t="s">
        <v>349</v>
      </c>
      <c r="I548" s="6" t="s">
        <v>790</v>
      </c>
      <c r="J548" s="6" t="s">
        <v>751</v>
      </c>
      <c r="K548" s="6">
        <v>1</v>
      </c>
    </row>
    <row r="549" spans="5:11" x14ac:dyDescent="0.25">
      <c r="E549" s="20" t="s">
        <v>77</v>
      </c>
      <c r="F549" s="19" t="str">
        <f>IFERROR(_xlfn.XLOOKUP(E549,#REF!,#REF!), "")</f>
        <v/>
      </c>
      <c r="G549" s="20" t="s">
        <v>631</v>
      </c>
      <c r="H549" t="s">
        <v>350</v>
      </c>
      <c r="I549" s="6" t="s">
        <v>790</v>
      </c>
      <c r="J549" s="6" t="s">
        <v>751</v>
      </c>
      <c r="K549" s="6">
        <v>1</v>
      </c>
    </row>
    <row r="550" spans="5:11" x14ac:dyDescent="0.25">
      <c r="E550" s="20" t="s">
        <v>77</v>
      </c>
      <c r="F550" s="19" t="str">
        <f>IFERROR(_xlfn.XLOOKUP(E550,#REF!,#REF!), "")</f>
        <v/>
      </c>
      <c r="G550" s="20" t="s">
        <v>632</v>
      </c>
      <c r="H550" t="s">
        <v>351</v>
      </c>
      <c r="I550" s="6" t="s">
        <v>790</v>
      </c>
      <c r="J550" s="6" t="s">
        <v>751</v>
      </c>
      <c r="K550" s="6">
        <v>1</v>
      </c>
    </row>
    <row r="551" spans="5:11" x14ac:dyDescent="0.25">
      <c r="E551" s="20" t="s">
        <v>78</v>
      </c>
      <c r="F551" s="19" t="str">
        <f>IFERROR(_xlfn.XLOOKUP(E551,#REF!,#REF!), "")</f>
        <v/>
      </c>
      <c r="G551" s="20" t="s">
        <v>633</v>
      </c>
      <c r="H551" t="s">
        <v>352</v>
      </c>
      <c r="I551" s="6" t="s">
        <v>791</v>
      </c>
      <c r="J551" s="6" t="s">
        <v>751</v>
      </c>
      <c r="K551" s="6">
        <v>1</v>
      </c>
    </row>
    <row r="552" spans="5:11" x14ac:dyDescent="0.25">
      <c r="E552" s="20" t="s">
        <v>78</v>
      </c>
      <c r="F552" s="19" t="str">
        <f>IFERROR(_xlfn.XLOOKUP(E552,#REF!,#REF!), "")</f>
        <v/>
      </c>
      <c r="G552" s="20" t="s">
        <v>634</v>
      </c>
      <c r="H552" t="s">
        <v>353</v>
      </c>
      <c r="I552" s="6" t="s">
        <v>792</v>
      </c>
      <c r="J552" s="6" t="s">
        <v>752</v>
      </c>
      <c r="K552" s="6">
        <v>100</v>
      </c>
    </row>
    <row r="553" spans="5:11" x14ac:dyDescent="0.25">
      <c r="E553" s="20" t="s">
        <v>78</v>
      </c>
      <c r="F553" s="19" t="str">
        <f>IFERROR(_xlfn.XLOOKUP(E553,#REF!,#REF!), "")</f>
        <v/>
      </c>
      <c r="G553" s="20" t="s">
        <v>635</v>
      </c>
      <c r="H553" t="s">
        <v>354</v>
      </c>
      <c r="I553" s="6" t="s">
        <v>793</v>
      </c>
      <c r="J553" s="6" t="s">
        <v>751</v>
      </c>
      <c r="K553" s="6">
        <v>1</v>
      </c>
    </row>
    <row r="554" spans="5:11" x14ac:dyDescent="0.25">
      <c r="E554" s="20" t="s">
        <v>78</v>
      </c>
      <c r="F554" s="19" t="str">
        <f>IFERROR(_xlfn.XLOOKUP(E554,#REF!,#REF!), "")</f>
        <v/>
      </c>
      <c r="G554" s="20" t="s">
        <v>636</v>
      </c>
      <c r="H554" t="s">
        <v>355</v>
      </c>
      <c r="I554" s="6" t="s">
        <v>794</v>
      </c>
      <c r="J554" s="6" t="s">
        <v>751</v>
      </c>
      <c r="K554" s="6">
        <v>1</v>
      </c>
    </row>
    <row r="555" spans="5:11" x14ac:dyDescent="0.25">
      <c r="E555" s="20" t="s">
        <v>78</v>
      </c>
      <c r="F555" s="19" t="str">
        <f>IFERROR(_xlfn.XLOOKUP(E555,#REF!,#REF!), "")</f>
        <v/>
      </c>
      <c r="G555" s="20" t="s">
        <v>637</v>
      </c>
      <c r="H555" t="s">
        <v>356</v>
      </c>
      <c r="I555" s="6" t="s">
        <v>795</v>
      </c>
      <c r="J555" s="6" t="s">
        <v>751</v>
      </c>
      <c r="K555" s="6">
        <v>1</v>
      </c>
    </row>
    <row r="556" spans="5:11" x14ac:dyDescent="0.25">
      <c r="E556" s="20" t="s">
        <v>78</v>
      </c>
      <c r="F556" s="19" t="str">
        <f>IFERROR(_xlfn.XLOOKUP(E556,#REF!,#REF!), "")</f>
        <v/>
      </c>
      <c r="G556" s="20" t="s">
        <v>638</v>
      </c>
      <c r="H556" t="s">
        <v>357</v>
      </c>
      <c r="I556" s="6" t="s">
        <v>796</v>
      </c>
      <c r="J556" s="6" t="s">
        <v>751</v>
      </c>
      <c r="K556" s="6">
        <v>1</v>
      </c>
    </row>
    <row r="557" spans="5:11" x14ac:dyDescent="0.25">
      <c r="E557" s="20" t="s">
        <v>78</v>
      </c>
      <c r="F557" s="19" t="str">
        <f>IFERROR(_xlfn.XLOOKUP(E557,#REF!,#REF!), "")</f>
        <v/>
      </c>
      <c r="G557" s="20" t="s">
        <v>639</v>
      </c>
      <c r="H557" t="s">
        <v>358</v>
      </c>
      <c r="I557" s="6" t="s">
        <v>797</v>
      </c>
      <c r="J557" s="6" t="s">
        <v>751</v>
      </c>
      <c r="K557" s="6">
        <v>1</v>
      </c>
    </row>
    <row r="558" spans="5:11" x14ac:dyDescent="0.25">
      <c r="E558" s="20" t="s">
        <v>78</v>
      </c>
      <c r="F558" s="19" t="str">
        <f>IFERROR(_xlfn.XLOOKUP(E558,#REF!,#REF!), "")</f>
        <v/>
      </c>
      <c r="G558" s="20" t="s">
        <v>640</v>
      </c>
      <c r="H558" t="s">
        <v>359</v>
      </c>
      <c r="I558" s="6" t="s">
        <v>797</v>
      </c>
      <c r="J558" s="6" t="s">
        <v>751</v>
      </c>
      <c r="K558" s="6">
        <v>1</v>
      </c>
    </row>
    <row r="559" spans="5:11" x14ac:dyDescent="0.25">
      <c r="E559" s="20" t="s">
        <v>78</v>
      </c>
      <c r="F559" s="19" t="str">
        <f>IFERROR(_xlfn.XLOOKUP(E559,#REF!,#REF!), "")</f>
        <v/>
      </c>
      <c r="G559" s="20" t="s">
        <v>641</v>
      </c>
      <c r="H559" t="s">
        <v>360</v>
      </c>
      <c r="I559" s="6" t="s">
        <v>797</v>
      </c>
      <c r="J559" s="6" t="s">
        <v>751</v>
      </c>
      <c r="K559" s="6">
        <v>1</v>
      </c>
    </row>
    <row r="560" spans="5:11" x14ac:dyDescent="0.25">
      <c r="E560" s="20" t="s">
        <v>78</v>
      </c>
      <c r="F560" s="19" t="str">
        <f>IFERROR(_xlfn.XLOOKUP(E560,#REF!,#REF!), "")</f>
        <v/>
      </c>
      <c r="G560" s="20" t="s">
        <v>642</v>
      </c>
      <c r="H560" t="s">
        <v>361</v>
      </c>
      <c r="I560" s="6" t="s">
        <v>798</v>
      </c>
      <c r="J560" s="6" t="s">
        <v>751</v>
      </c>
      <c r="K560" s="6">
        <v>1</v>
      </c>
    </row>
    <row r="561" spans="5:11" x14ac:dyDescent="0.25">
      <c r="E561" s="20" t="s">
        <v>78</v>
      </c>
      <c r="F561" s="19" t="str">
        <f>IFERROR(_xlfn.XLOOKUP(E561,#REF!,#REF!), "")</f>
        <v/>
      </c>
      <c r="G561" s="20" t="s">
        <v>643</v>
      </c>
      <c r="H561" t="s">
        <v>362</v>
      </c>
      <c r="I561" s="6" t="s">
        <v>799</v>
      </c>
      <c r="J561" s="6" t="s">
        <v>751</v>
      </c>
      <c r="K561" s="6">
        <v>125</v>
      </c>
    </row>
    <row r="562" spans="5:11" x14ac:dyDescent="0.25">
      <c r="E562" s="20" t="s">
        <v>78</v>
      </c>
      <c r="F562" s="19" t="str">
        <f>IFERROR(_xlfn.XLOOKUP(E562,#REF!,#REF!), "")</f>
        <v/>
      </c>
      <c r="G562" s="20" t="s">
        <v>644</v>
      </c>
      <c r="H562" t="s">
        <v>363</v>
      </c>
      <c r="I562" s="6" t="s">
        <v>718</v>
      </c>
      <c r="J562" s="6" t="s">
        <v>751</v>
      </c>
      <c r="K562" s="6">
        <v>10</v>
      </c>
    </row>
    <row r="563" spans="5:11" x14ac:dyDescent="0.25">
      <c r="E563" s="20" t="s">
        <v>78</v>
      </c>
      <c r="F563" s="19" t="str">
        <f>IFERROR(_xlfn.XLOOKUP(E563,#REF!,#REF!), "")</f>
        <v/>
      </c>
      <c r="G563" s="20" t="s">
        <v>645</v>
      </c>
      <c r="H563" t="s">
        <v>364</v>
      </c>
      <c r="I563" s="6" t="s">
        <v>800</v>
      </c>
      <c r="J563" s="6" t="s">
        <v>751</v>
      </c>
      <c r="K563" s="6">
        <v>70</v>
      </c>
    </row>
    <row r="564" spans="5:11" x14ac:dyDescent="0.25">
      <c r="E564" s="20" t="s">
        <v>78</v>
      </c>
      <c r="F564" s="19" t="str">
        <f>IFERROR(_xlfn.XLOOKUP(E564,#REF!,#REF!), "")</f>
        <v/>
      </c>
      <c r="G564" s="20" t="s">
        <v>646</v>
      </c>
      <c r="H564" t="s">
        <v>365</v>
      </c>
      <c r="I564" s="6" t="s">
        <v>801</v>
      </c>
      <c r="J564" s="6" t="s">
        <v>752</v>
      </c>
      <c r="K564" s="6">
        <v>60</v>
      </c>
    </row>
    <row r="565" spans="5:11" x14ac:dyDescent="0.25">
      <c r="E565" s="20" t="s">
        <v>14</v>
      </c>
      <c r="F565" s="19" t="str">
        <f>IFERROR(_xlfn.XLOOKUP(E565,#REF!,#REF!), "")</f>
        <v/>
      </c>
      <c r="G565" s="20" t="s">
        <v>647</v>
      </c>
      <c r="H565" t="s">
        <v>366</v>
      </c>
      <c r="I565" s="6" t="s">
        <v>738</v>
      </c>
      <c r="J565" s="6" t="s">
        <v>751</v>
      </c>
      <c r="K565" s="6">
        <v>9</v>
      </c>
    </row>
    <row r="566" spans="5:11" x14ac:dyDescent="0.25">
      <c r="E566" s="20" t="s">
        <v>14</v>
      </c>
      <c r="F566" s="19" t="str">
        <f>IFERROR(_xlfn.XLOOKUP(E566,#REF!,#REF!), "")</f>
        <v/>
      </c>
      <c r="G566" s="20" t="s">
        <v>648</v>
      </c>
      <c r="H566" t="s">
        <v>367</v>
      </c>
      <c r="I566" s="6" t="s">
        <v>738</v>
      </c>
      <c r="J566" s="6" t="s">
        <v>751</v>
      </c>
      <c r="K566" s="6">
        <v>9</v>
      </c>
    </row>
    <row r="567" spans="5:11" x14ac:dyDescent="0.25">
      <c r="E567" s="20" t="s">
        <v>14</v>
      </c>
      <c r="F567" s="19" t="str">
        <f>IFERROR(_xlfn.XLOOKUP(E567,#REF!,#REF!), "")</f>
        <v/>
      </c>
      <c r="G567" s="20" t="s">
        <v>649</v>
      </c>
      <c r="H567" t="s">
        <v>368</v>
      </c>
      <c r="I567" s="6" t="s">
        <v>738</v>
      </c>
      <c r="J567" s="6" t="s">
        <v>751</v>
      </c>
      <c r="K567" s="6">
        <v>2</v>
      </c>
    </row>
    <row r="568" spans="5:11" x14ac:dyDescent="0.25">
      <c r="E568" s="20" t="s">
        <v>14</v>
      </c>
      <c r="F568" s="19" t="str">
        <f>IFERROR(_xlfn.XLOOKUP(E568,#REF!,#REF!), "")</f>
        <v/>
      </c>
      <c r="G568" s="20" t="s">
        <v>650</v>
      </c>
      <c r="H568" t="s">
        <v>369</v>
      </c>
      <c r="I568" s="6" t="s">
        <v>738</v>
      </c>
      <c r="J568" s="6" t="s">
        <v>751</v>
      </c>
      <c r="K568" s="6">
        <v>1</v>
      </c>
    </row>
    <row r="569" spans="5:11" x14ac:dyDescent="0.25">
      <c r="E569" s="20" t="s">
        <v>14</v>
      </c>
      <c r="F569" s="19" t="str">
        <f>IFERROR(_xlfn.XLOOKUP(E569,#REF!,#REF!), "")</f>
        <v/>
      </c>
      <c r="G569" s="20" t="s">
        <v>651</v>
      </c>
      <c r="H569" t="s">
        <v>370</v>
      </c>
      <c r="I569" s="6" t="s">
        <v>738</v>
      </c>
      <c r="J569" s="6" t="s">
        <v>751</v>
      </c>
      <c r="K569" s="6">
        <v>1</v>
      </c>
    </row>
    <row r="570" spans="5:11" x14ac:dyDescent="0.25">
      <c r="E570" s="20" t="s">
        <v>19</v>
      </c>
      <c r="F570" s="19" t="str">
        <f>IFERROR(_xlfn.XLOOKUP(E570,#REF!,#REF!), "")</f>
        <v/>
      </c>
      <c r="G570" s="20" t="s">
        <v>652</v>
      </c>
      <c r="H570" t="s">
        <v>371</v>
      </c>
      <c r="I570" s="6" t="s">
        <v>738</v>
      </c>
      <c r="J570" s="6" t="s">
        <v>751</v>
      </c>
      <c r="K570" s="6">
        <v>8</v>
      </c>
    </row>
    <row r="571" spans="5:11" x14ac:dyDescent="0.25">
      <c r="E571" s="20" t="s">
        <v>20</v>
      </c>
      <c r="F571" s="19" t="str">
        <f>IFERROR(_xlfn.XLOOKUP(E571,#REF!,#REF!), "")</f>
        <v/>
      </c>
      <c r="G571" s="20" t="s">
        <v>653</v>
      </c>
      <c r="H571" t="s">
        <v>372</v>
      </c>
      <c r="I571" s="6" t="s">
        <v>802</v>
      </c>
      <c r="J571" s="6" t="s">
        <v>751</v>
      </c>
      <c r="K571" s="6">
        <v>50</v>
      </c>
    </row>
    <row r="572" spans="5:11" x14ac:dyDescent="0.25">
      <c r="E572" s="20" t="s">
        <v>20</v>
      </c>
      <c r="F572" s="19" t="str">
        <f>IFERROR(_xlfn.XLOOKUP(E572,#REF!,#REF!), "")</f>
        <v/>
      </c>
      <c r="G572" s="20" t="s">
        <v>654</v>
      </c>
      <c r="H572" t="s">
        <v>373</v>
      </c>
      <c r="I572" s="6" t="s">
        <v>802</v>
      </c>
      <c r="J572" s="6" t="s">
        <v>751</v>
      </c>
      <c r="K572" s="6">
        <v>655</v>
      </c>
    </row>
    <row r="573" spans="5:11" x14ac:dyDescent="0.25">
      <c r="E573" s="20" t="s">
        <v>20</v>
      </c>
      <c r="F573" s="19" t="str">
        <f>IFERROR(_xlfn.XLOOKUP(E573,#REF!,#REF!), "")</f>
        <v/>
      </c>
      <c r="G573" s="20" t="s">
        <v>655</v>
      </c>
      <c r="H573" t="s">
        <v>374</v>
      </c>
      <c r="I573" s="6" t="s">
        <v>802</v>
      </c>
      <c r="J573" s="6" t="s">
        <v>751</v>
      </c>
      <c r="K573" s="6">
        <v>8</v>
      </c>
    </row>
    <row r="574" spans="5:11" x14ac:dyDescent="0.25">
      <c r="E574" s="20" t="s">
        <v>20</v>
      </c>
      <c r="F574" s="19" t="str">
        <f>IFERROR(_xlfn.XLOOKUP(E574,#REF!,#REF!), "")</f>
        <v/>
      </c>
      <c r="G574" s="20" t="s">
        <v>656</v>
      </c>
      <c r="H574" t="s">
        <v>375</v>
      </c>
      <c r="I574" s="6" t="s">
        <v>803</v>
      </c>
      <c r="J574" s="6" t="s">
        <v>751</v>
      </c>
      <c r="K574" s="6">
        <v>4</v>
      </c>
    </row>
    <row r="575" spans="5:11" x14ac:dyDescent="0.25">
      <c r="E575" s="20" t="s">
        <v>20</v>
      </c>
      <c r="F575" s="19" t="str">
        <f>IFERROR(_xlfn.XLOOKUP(E575,#REF!,#REF!), "")</f>
        <v/>
      </c>
      <c r="G575" s="20" t="s">
        <v>657</v>
      </c>
      <c r="H575" t="s">
        <v>376</v>
      </c>
      <c r="I575" s="6" t="s">
        <v>802</v>
      </c>
      <c r="J575" s="6" t="s">
        <v>751</v>
      </c>
      <c r="K575" s="6">
        <v>13</v>
      </c>
    </row>
    <row r="576" spans="5:11" x14ac:dyDescent="0.25">
      <c r="E576" s="20" t="s">
        <v>21</v>
      </c>
      <c r="F576" s="19" t="str">
        <f>IFERROR(_xlfn.XLOOKUP(E576,#REF!,#REF!), "")</f>
        <v/>
      </c>
      <c r="G576" s="20" t="s">
        <v>658</v>
      </c>
      <c r="H576" t="s">
        <v>377</v>
      </c>
      <c r="I576" s="6" t="s">
        <v>804</v>
      </c>
      <c r="J576" s="6" t="s">
        <v>751</v>
      </c>
      <c r="K576" s="6">
        <v>33</v>
      </c>
    </row>
    <row r="577" spans="5:11" x14ac:dyDescent="0.25">
      <c r="E577" s="20" t="s">
        <v>21</v>
      </c>
      <c r="F577" s="19" t="str">
        <f>IFERROR(_xlfn.XLOOKUP(E577,#REF!,#REF!), "")</f>
        <v/>
      </c>
      <c r="G577" s="20" t="s">
        <v>659</v>
      </c>
      <c r="H577" t="s">
        <v>378</v>
      </c>
      <c r="I577" s="6" t="s">
        <v>805</v>
      </c>
      <c r="J577" s="6" t="s">
        <v>751</v>
      </c>
      <c r="K577" s="6">
        <v>58</v>
      </c>
    </row>
    <row r="578" spans="5:11" x14ac:dyDescent="0.25">
      <c r="E578" s="20" t="s">
        <v>21</v>
      </c>
      <c r="F578" s="19" t="str">
        <f>IFERROR(_xlfn.XLOOKUP(E578,#REF!,#REF!), "")</f>
        <v/>
      </c>
      <c r="G578" s="20" t="s">
        <v>660</v>
      </c>
      <c r="H578" t="s">
        <v>379</v>
      </c>
      <c r="I578" s="6" t="s">
        <v>806</v>
      </c>
      <c r="J578" s="6" t="s">
        <v>751</v>
      </c>
      <c r="K578" s="6">
        <v>86</v>
      </c>
    </row>
    <row r="579" spans="5:11" x14ac:dyDescent="0.25">
      <c r="E579" s="20" t="s">
        <v>21</v>
      </c>
      <c r="F579" s="19" t="str">
        <f>IFERROR(_xlfn.XLOOKUP(E579,#REF!,#REF!), "")</f>
        <v/>
      </c>
      <c r="G579" s="20" t="s">
        <v>661</v>
      </c>
      <c r="H579" t="s">
        <v>380</v>
      </c>
      <c r="I579" s="6" t="s">
        <v>807</v>
      </c>
      <c r="J579" s="6" t="s">
        <v>751</v>
      </c>
      <c r="K579" s="6">
        <v>107</v>
      </c>
    </row>
    <row r="580" spans="5:11" x14ac:dyDescent="0.25">
      <c r="E580" s="20" t="s">
        <v>21</v>
      </c>
      <c r="F580" s="19" t="str">
        <f>IFERROR(_xlfn.XLOOKUP(E580,#REF!,#REF!), "")</f>
        <v/>
      </c>
      <c r="G580" s="20" t="s">
        <v>662</v>
      </c>
      <c r="H580" t="s">
        <v>381</v>
      </c>
      <c r="I580" s="6" t="s">
        <v>808</v>
      </c>
      <c r="J580" s="6" t="s">
        <v>751</v>
      </c>
      <c r="K580" s="6">
        <v>15</v>
      </c>
    </row>
    <row r="581" spans="5:11" x14ac:dyDescent="0.25">
      <c r="E581" s="20" t="s">
        <v>22</v>
      </c>
      <c r="F581" s="19" t="str">
        <f>IFERROR(_xlfn.XLOOKUP(E581,#REF!,#REF!), "")</f>
        <v/>
      </c>
      <c r="G581" s="20" t="s">
        <v>663</v>
      </c>
      <c r="H581" t="s">
        <v>382</v>
      </c>
      <c r="I581" s="6" t="s">
        <v>718</v>
      </c>
      <c r="J581" s="6" t="s">
        <v>751</v>
      </c>
      <c r="K581" s="6">
        <v>8</v>
      </c>
    </row>
    <row r="582" spans="5:11" x14ac:dyDescent="0.25">
      <c r="E582" s="20" t="s">
        <v>22</v>
      </c>
      <c r="F582" s="19" t="str">
        <f>IFERROR(_xlfn.XLOOKUP(E582,#REF!,#REF!), "")</f>
        <v/>
      </c>
      <c r="G582" s="20" t="s">
        <v>664</v>
      </c>
      <c r="H582" t="s">
        <v>383</v>
      </c>
      <c r="I582" s="6" t="s">
        <v>809</v>
      </c>
      <c r="J582" s="6" t="s">
        <v>751</v>
      </c>
      <c r="K582" s="6">
        <v>4</v>
      </c>
    </row>
    <row r="583" spans="5:11" x14ac:dyDescent="0.25">
      <c r="E583" s="20" t="s">
        <v>22</v>
      </c>
      <c r="F583" s="19" t="str">
        <f>IFERROR(_xlfn.XLOOKUP(E583,#REF!,#REF!), "")</f>
        <v/>
      </c>
      <c r="G583" s="20" t="s">
        <v>665</v>
      </c>
      <c r="H583" t="s">
        <v>384</v>
      </c>
      <c r="I583" s="6" t="s">
        <v>810</v>
      </c>
      <c r="J583" s="6" t="s">
        <v>751</v>
      </c>
      <c r="K583" s="6">
        <v>2</v>
      </c>
    </row>
    <row r="584" spans="5:11" x14ac:dyDescent="0.25">
      <c r="E584" s="20" t="s">
        <v>23</v>
      </c>
      <c r="F584" s="19" t="str">
        <f>IFERROR(_xlfn.XLOOKUP(E584,#REF!,#REF!), "")</f>
        <v/>
      </c>
      <c r="G584" s="20" t="s">
        <v>666</v>
      </c>
      <c r="H584" t="s">
        <v>385</v>
      </c>
      <c r="I584" s="6" t="s">
        <v>811</v>
      </c>
      <c r="J584" s="6" t="s">
        <v>751</v>
      </c>
      <c r="K584" s="6">
        <v>8</v>
      </c>
    </row>
    <row r="585" spans="5:11" x14ac:dyDescent="0.25">
      <c r="E585" s="20" t="s">
        <v>23</v>
      </c>
      <c r="F585" s="19" t="str">
        <f>IFERROR(_xlfn.XLOOKUP(E585,#REF!,#REF!), "")</f>
        <v/>
      </c>
      <c r="G585" s="20" t="s">
        <v>667</v>
      </c>
      <c r="H585" t="s">
        <v>386</v>
      </c>
      <c r="I585" s="6" t="s">
        <v>756</v>
      </c>
      <c r="J585" s="6" t="s">
        <v>751</v>
      </c>
      <c r="K585" s="6">
        <v>7</v>
      </c>
    </row>
    <row r="586" spans="5:11" x14ac:dyDescent="0.25">
      <c r="E586" s="20" t="s">
        <v>23</v>
      </c>
      <c r="F586" s="19" t="str">
        <f>IFERROR(_xlfn.XLOOKUP(E586,#REF!,#REF!), "")</f>
        <v/>
      </c>
      <c r="G586" s="20" t="s">
        <v>668</v>
      </c>
      <c r="H586" t="s">
        <v>387</v>
      </c>
      <c r="I586" s="6" t="s">
        <v>812</v>
      </c>
      <c r="J586" s="6" t="s">
        <v>751</v>
      </c>
      <c r="K586" s="6">
        <v>4</v>
      </c>
    </row>
    <row r="587" spans="5:11" x14ac:dyDescent="0.25">
      <c r="E587" s="20" t="s">
        <v>23</v>
      </c>
      <c r="F587" s="19" t="str">
        <f>IFERROR(_xlfn.XLOOKUP(E587,#REF!,#REF!), "")</f>
        <v/>
      </c>
      <c r="G587" s="20" t="s">
        <v>669</v>
      </c>
      <c r="H587" t="s">
        <v>388</v>
      </c>
      <c r="I587" s="6" t="s">
        <v>813</v>
      </c>
      <c r="J587" s="6" t="s">
        <v>751</v>
      </c>
      <c r="K587" s="6">
        <v>1</v>
      </c>
    </row>
    <row r="588" spans="5:11" x14ac:dyDescent="0.25">
      <c r="E588" s="20" t="s">
        <v>23</v>
      </c>
      <c r="F588" s="19" t="str">
        <f>IFERROR(_xlfn.XLOOKUP(E588,#REF!,#REF!), "")</f>
        <v/>
      </c>
      <c r="G588" s="20" t="s">
        <v>670</v>
      </c>
      <c r="H588" t="s">
        <v>389</v>
      </c>
      <c r="I588" s="6" t="s">
        <v>814</v>
      </c>
      <c r="J588" s="6" t="s">
        <v>751</v>
      </c>
      <c r="K588" s="6">
        <v>1</v>
      </c>
    </row>
    <row r="589" spans="5:11" x14ac:dyDescent="0.25">
      <c r="E589" s="20" t="s">
        <v>16</v>
      </c>
      <c r="F589" s="19" t="str">
        <f>IFERROR(_xlfn.XLOOKUP(E589,#REF!,#REF!), "")</f>
        <v/>
      </c>
      <c r="G589" s="20" t="s">
        <v>671</v>
      </c>
      <c r="H589" t="s">
        <v>390</v>
      </c>
      <c r="I589" s="6" t="s">
        <v>815</v>
      </c>
      <c r="J589" s="6" t="s">
        <v>751</v>
      </c>
      <c r="K589" s="6">
        <v>2000</v>
      </c>
    </row>
    <row r="590" spans="5:11" x14ac:dyDescent="0.25">
      <c r="E590" s="20" t="s">
        <v>16</v>
      </c>
      <c r="F590" s="19" t="str">
        <f>IFERROR(_xlfn.XLOOKUP(E590,#REF!,#REF!), "")</f>
        <v/>
      </c>
      <c r="G590" s="20" t="s">
        <v>672</v>
      </c>
      <c r="H590" t="s">
        <v>391</v>
      </c>
      <c r="I590" s="6" t="s">
        <v>815</v>
      </c>
      <c r="J590" s="6" t="s">
        <v>751</v>
      </c>
      <c r="K590" s="6">
        <v>100</v>
      </c>
    </row>
    <row r="591" spans="5:11" x14ac:dyDescent="0.25">
      <c r="E591" s="20" t="s">
        <v>16</v>
      </c>
      <c r="F591" s="19" t="str">
        <f>IFERROR(_xlfn.XLOOKUP(E591,#REF!,#REF!), "")</f>
        <v/>
      </c>
      <c r="G591" s="20" t="s">
        <v>673</v>
      </c>
      <c r="H591" t="s">
        <v>392</v>
      </c>
      <c r="I591" s="6" t="s">
        <v>815</v>
      </c>
      <c r="J591" s="6" t="s">
        <v>751</v>
      </c>
      <c r="K591" s="6">
        <v>2000</v>
      </c>
    </row>
    <row r="592" spans="5:11" x14ac:dyDescent="0.25">
      <c r="E592" s="20" t="s">
        <v>16</v>
      </c>
      <c r="F592" s="19" t="str">
        <f>IFERROR(_xlfn.XLOOKUP(E592,#REF!,#REF!), "")</f>
        <v/>
      </c>
      <c r="G592" s="20" t="s">
        <v>674</v>
      </c>
      <c r="H592" t="s">
        <v>393</v>
      </c>
      <c r="I592" s="6" t="s">
        <v>815</v>
      </c>
      <c r="J592" s="6" t="s">
        <v>751</v>
      </c>
      <c r="K592" s="6">
        <v>150</v>
      </c>
    </row>
    <row r="593" spans="5:11" x14ac:dyDescent="0.25">
      <c r="E593" s="20" t="s">
        <v>16</v>
      </c>
      <c r="F593" s="19" t="str">
        <f>IFERROR(_xlfn.XLOOKUP(E593,#REF!,#REF!), "")</f>
        <v/>
      </c>
      <c r="G593" s="20" t="s">
        <v>675</v>
      </c>
      <c r="H593" t="s">
        <v>394</v>
      </c>
      <c r="I593" s="6" t="s">
        <v>815</v>
      </c>
      <c r="J593" s="6" t="s">
        <v>751</v>
      </c>
      <c r="K593" s="6">
        <v>200</v>
      </c>
    </row>
    <row r="594" spans="5:11" x14ac:dyDescent="0.25">
      <c r="E594" s="20" t="s">
        <v>16</v>
      </c>
      <c r="F594" s="19" t="str">
        <f>IFERROR(_xlfn.XLOOKUP(E594,#REF!,#REF!), "")</f>
        <v/>
      </c>
      <c r="G594" s="20" t="s">
        <v>676</v>
      </c>
      <c r="H594" t="s">
        <v>395</v>
      </c>
      <c r="I594" s="6" t="s">
        <v>815</v>
      </c>
      <c r="J594" s="6" t="s">
        <v>751</v>
      </c>
      <c r="K594" s="6">
        <v>30</v>
      </c>
    </row>
    <row r="595" spans="5:11" x14ac:dyDescent="0.25">
      <c r="E595" s="20" t="s">
        <v>16</v>
      </c>
      <c r="F595" s="19" t="str">
        <f>IFERROR(_xlfn.XLOOKUP(E595,#REF!,#REF!), "")</f>
        <v/>
      </c>
      <c r="G595" s="20" t="s">
        <v>677</v>
      </c>
      <c r="H595" t="s">
        <v>396</v>
      </c>
      <c r="I595" s="6" t="s">
        <v>815</v>
      </c>
      <c r="J595" s="6" t="s">
        <v>751</v>
      </c>
      <c r="K595" s="6">
        <v>40</v>
      </c>
    </row>
    <row r="596" spans="5:11" x14ac:dyDescent="0.25">
      <c r="E596" s="20" t="s">
        <v>16</v>
      </c>
      <c r="F596" s="19" t="str">
        <f>IFERROR(_xlfn.XLOOKUP(E596,#REF!,#REF!), "")</f>
        <v/>
      </c>
      <c r="G596" s="20" t="s">
        <v>678</v>
      </c>
      <c r="H596" t="s">
        <v>397</v>
      </c>
      <c r="I596" s="6" t="s">
        <v>815</v>
      </c>
      <c r="J596" s="6" t="s">
        <v>751</v>
      </c>
      <c r="K596" s="6">
        <v>100</v>
      </c>
    </row>
    <row r="597" spans="5:11" x14ac:dyDescent="0.25">
      <c r="E597" s="20" t="s">
        <v>16</v>
      </c>
      <c r="F597" s="19" t="str">
        <f>IFERROR(_xlfn.XLOOKUP(E597,#REF!,#REF!), "")</f>
        <v/>
      </c>
      <c r="G597" s="20" t="s">
        <v>679</v>
      </c>
      <c r="H597" t="s">
        <v>398</v>
      </c>
      <c r="I597" s="6" t="s">
        <v>815</v>
      </c>
      <c r="J597" s="6" t="s">
        <v>751</v>
      </c>
      <c r="K597" s="6">
        <v>75</v>
      </c>
    </row>
    <row r="598" spans="5:11" x14ac:dyDescent="0.25">
      <c r="E598" s="20" t="s">
        <v>16</v>
      </c>
      <c r="F598" s="19" t="str">
        <f>IFERROR(_xlfn.XLOOKUP(E598,#REF!,#REF!), "")</f>
        <v/>
      </c>
      <c r="G598" s="20" t="s">
        <v>680</v>
      </c>
      <c r="H598" t="s">
        <v>399</v>
      </c>
      <c r="I598" s="6" t="s">
        <v>815</v>
      </c>
      <c r="J598" s="6" t="s">
        <v>751</v>
      </c>
      <c r="K598" s="6">
        <v>45</v>
      </c>
    </row>
    <row r="599" spans="5:11" x14ac:dyDescent="0.25">
      <c r="E599" s="20" t="s">
        <v>16</v>
      </c>
      <c r="F599" s="19" t="str">
        <f>IFERROR(_xlfn.XLOOKUP(E599,#REF!,#REF!), "")</f>
        <v/>
      </c>
      <c r="G599" s="20" t="s">
        <v>681</v>
      </c>
      <c r="H599" t="s">
        <v>400</v>
      </c>
      <c r="I599" s="6" t="s">
        <v>816</v>
      </c>
      <c r="J599" s="6" t="s">
        <v>751</v>
      </c>
      <c r="K599" s="6">
        <v>70</v>
      </c>
    </row>
    <row r="600" spans="5:11" x14ac:dyDescent="0.25">
      <c r="E600" s="20" t="s">
        <v>16</v>
      </c>
      <c r="F600" s="19" t="str">
        <f>IFERROR(_xlfn.XLOOKUP(E600,#REF!,#REF!), "")</f>
        <v/>
      </c>
      <c r="G600" s="20" t="s">
        <v>682</v>
      </c>
      <c r="H600" t="s">
        <v>401</v>
      </c>
      <c r="I600" s="6" t="s">
        <v>815</v>
      </c>
      <c r="J600" s="6" t="s">
        <v>751</v>
      </c>
      <c r="K600" s="6">
        <v>200</v>
      </c>
    </row>
    <row r="601" spans="5:11" x14ac:dyDescent="0.25">
      <c r="E601" s="20" t="s">
        <v>16</v>
      </c>
      <c r="F601" s="19" t="str">
        <f>IFERROR(_xlfn.XLOOKUP(E601,#REF!,#REF!), "")</f>
        <v/>
      </c>
      <c r="G601" s="20" t="s">
        <v>683</v>
      </c>
      <c r="H601" t="s">
        <v>402</v>
      </c>
      <c r="I601" s="6" t="s">
        <v>815</v>
      </c>
      <c r="J601" s="6" t="s">
        <v>751</v>
      </c>
      <c r="K601" s="6">
        <v>400</v>
      </c>
    </row>
    <row r="602" spans="5:11" x14ac:dyDescent="0.25">
      <c r="E602" s="20" t="s">
        <v>16</v>
      </c>
      <c r="F602" s="19" t="str">
        <f>IFERROR(_xlfn.XLOOKUP(E602,#REF!,#REF!), "")</f>
        <v/>
      </c>
      <c r="G602" s="20" t="s">
        <v>684</v>
      </c>
      <c r="H602" t="s">
        <v>403</v>
      </c>
      <c r="I602" s="6" t="s">
        <v>815</v>
      </c>
      <c r="J602" s="6" t="s">
        <v>751</v>
      </c>
      <c r="K602" s="6">
        <v>20</v>
      </c>
    </row>
    <row r="603" spans="5:11" x14ac:dyDescent="0.25">
      <c r="E603" s="20" t="s">
        <v>16</v>
      </c>
      <c r="F603" s="19" t="str">
        <f>IFERROR(_xlfn.XLOOKUP(E603,#REF!,#REF!), "")</f>
        <v/>
      </c>
      <c r="G603" s="20" t="s">
        <v>685</v>
      </c>
      <c r="H603" t="s">
        <v>404</v>
      </c>
      <c r="I603" s="6" t="s">
        <v>817</v>
      </c>
      <c r="J603" s="6" t="s">
        <v>751</v>
      </c>
      <c r="K603" s="6">
        <v>200</v>
      </c>
    </row>
    <row r="604" spans="5:11" x14ac:dyDescent="0.25">
      <c r="E604" s="20" t="s">
        <v>16</v>
      </c>
      <c r="F604" s="19" t="str">
        <f>IFERROR(_xlfn.XLOOKUP(E604,#REF!,#REF!), "")</f>
        <v/>
      </c>
      <c r="G604" s="20" t="s">
        <v>686</v>
      </c>
      <c r="H604" t="s">
        <v>405</v>
      </c>
      <c r="I604" s="6" t="s">
        <v>818</v>
      </c>
      <c r="J604" s="6" t="s">
        <v>751</v>
      </c>
      <c r="K604" s="6">
        <v>2000</v>
      </c>
    </row>
    <row r="605" spans="5:11" x14ac:dyDescent="0.25">
      <c r="E605" s="20" t="s">
        <v>16</v>
      </c>
      <c r="F605" s="19" t="str">
        <f>IFERROR(_xlfn.XLOOKUP(E605,#REF!,#REF!), "")</f>
        <v/>
      </c>
      <c r="G605" s="20" t="s">
        <v>687</v>
      </c>
      <c r="H605" t="s">
        <v>406</v>
      </c>
      <c r="I605" s="6" t="s">
        <v>812</v>
      </c>
      <c r="J605" s="6" t="s">
        <v>751</v>
      </c>
      <c r="K605" s="6">
        <v>1</v>
      </c>
    </row>
    <row r="606" spans="5:11" x14ac:dyDescent="0.25">
      <c r="E606" s="20" t="s">
        <v>24</v>
      </c>
      <c r="F606" s="19" t="str">
        <f>IFERROR(_xlfn.XLOOKUP(E606,#REF!,#REF!), "")</f>
        <v/>
      </c>
      <c r="G606" s="20" t="s">
        <v>688</v>
      </c>
      <c r="H606" t="s">
        <v>407</v>
      </c>
      <c r="I606" s="6" t="s">
        <v>820</v>
      </c>
      <c r="J606" s="6" t="s">
        <v>751</v>
      </c>
      <c r="K606" s="6">
        <v>70</v>
      </c>
    </row>
    <row r="607" spans="5:11" x14ac:dyDescent="0.25">
      <c r="E607" s="20" t="s">
        <v>24</v>
      </c>
      <c r="F607" s="19" t="str">
        <f>IFERROR(_xlfn.XLOOKUP(E607,#REF!,#REF!), "")</f>
        <v/>
      </c>
      <c r="G607" s="20" t="s">
        <v>689</v>
      </c>
      <c r="H607" t="s">
        <v>408</v>
      </c>
      <c r="I607" s="6" t="s">
        <v>820</v>
      </c>
      <c r="J607" s="6" t="s">
        <v>751</v>
      </c>
      <c r="K607" s="6">
        <v>70</v>
      </c>
    </row>
    <row r="608" spans="5:11" x14ac:dyDescent="0.25">
      <c r="E608" s="20" t="s">
        <v>24</v>
      </c>
      <c r="F608" s="19" t="str">
        <f>IFERROR(_xlfn.XLOOKUP(E608,#REF!,#REF!), "")</f>
        <v/>
      </c>
      <c r="G608" s="20" t="s">
        <v>690</v>
      </c>
      <c r="H608" t="s">
        <v>409</v>
      </c>
      <c r="I608" s="6" t="s">
        <v>820</v>
      </c>
      <c r="J608" s="6" t="s">
        <v>751</v>
      </c>
      <c r="K608" s="6">
        <v>70</v>
      </c>
    </row>
    <row r="609" spans="5:11" x14ac:dyDescent="0.25">
      <c r="E609" s="20" t="s">
        <v>24</v>
      </c>
      <c r="F609" s="19" t="str">
        <f>IFERROR(_xlfn.XLOOKUP(E609,#REF!,#REF!), "")</f>
        <v/>
      </c>
      <c r="G609" s="20" t="s">
        <v>691</v>
      </c>
      <c r="H609" t="s">
        <v>410</v>
      </c>
      <c r="I609" s="6" t="s">
        <v>820</v>
      </c>
      <c r="J609" s="6" t="s">
        <v>751</v>
      </c>
      <c r="K609" s="6">
        <v>90</v>
      </c>
    </row>
    <row r="610" spans="5:11" x14ac:dyDescent="0.25">
      <c r="E610" s="20" t="s">
        <v>24</v>
      </c>
      <c r="F610" s="19" t="str">
        <f>IFERROR(_xlfn.XLOOKUP(E610,#REF!,#REF!), "")</f>
        <v/>
      </c>
      <c r="G610" s="20" t="s">
        <v>692</v>
      </c>
      <c r="H610" t="s">
        <v>411</v>
      </c>
      <c r="I610" s="6" t="s">
        <v>820</v>
      </c>
      <c r="J610" s="6" t="s">
        <v>751</v>
      </c>
      <c r="K610" s="6">
        <v>40</v>
      </c>
    </row>
    <row r="611" spans="5:11" x14ac:dyDescent="0.25">
      <c r="E611" s="20" t="s">
        <v>24</v>
      </c>
      <c r="F611" s="19" t="str">
        <f>IFERROR(_xlfn.XLOOKUP(E611,#REF!,#REF!), "")</f>
        <v/>
      </c>
      <c r="G611" s="20" t="s">
        <v>693</v>
      </c>
      <c r="H611" t="s">
        <v>412</v>
      </c>
      <c r="I611" s="6" t="s">
        <v>821</v>
      </c>
      <c r="J611" s="6" t="s">
        <v>751</v>
      </c>
      <c r="K611" s="6">
        <v>4</v>
      </c>
    </row>
    <row r="612" spans="5:11" x14ac:dyDescent="0.25">
      <c r="E612" s="20" t="s">
        <v>25</v>
      </c>
      <c r="F612" s="19" t="str">
        <f>IFERROR(_xlfn.XLOOKUP(E612,#REF!,#REF!), "")</f>
        <v/>
      </c>
      <c r="G612" s="20" t="s">
        <v>694</v>
      </c>
      <c r="H612" t="s">
        <v>413</v>
      </c>
      <c r="I612" s="6" t="s">
        <v>822</v>
      </c>
      <c r="J612" s="6" t="s">
        <v>751</v>
      </c>
      <c r="K612" s="6">
        <v>8</v>
      </c>
    </row>
    <row r="613" spans="5:11" x14ac:dyDescent="0.25">
      <c r="E613" s="20" t="s">
        <v>25</v>
      </c>
      <c r="F613" s="19" t="str">
        <f>IFERROR(_xlfn.XLOOKUP(E613,#REF!,#REF!), "")</f>
        <v/>
      </c>
      <c r="G613" s="20" t="s">
        <v>695</v>
      </c>
      <c r="H613" t="s">
        <v>414</v>
      </c>
      <c r="I613" s="6" t="s">
        <v>823</v>
      </c>
      <c r="J613" s="6" t="s">
        <v>752</v>
      </c>
      <c r="K613" s="6">
        <v>70</v>
      </c>
    </row>
    <row r="614" spans="5:11" x14ac:dyDescent="0.25">
      <c r="E614" s="20" t="s">
        <v>25</v>
      </c>
      <c r="F614" s="19" t="str">
        <f>IFERROR(_xlfn.XLOOKUP(E614,#REF!,#REF!), "")</f>
        <v/>
      </c>
      <c r="G614" s="20" t="s">
        <v>696</v>
      </c>
      <c r="H614" t="s">
        <v>415</v>
      </c>
      <c r="I614" s="6" t="s">
        <v>824</v>
      </c>
      <c r="J614" s="6" t="s">
        <v>752</v>
      </c>
      <c r="K614" s="6">
        <v>70</v>
      </c>
    </row>
    <row r="615" spans="5:11" x14ac:dyDescent="0.25">
      <c r="E615" s="20" t="s">
        <v>17</v>
      </c>
      <c r="F615" s="19" t="str">
        <f>IFERROR(_xlfn.XLOOKUP(E615,#REF!,#REF!), "")</f>
        <v/>
      </c>
      <c r="G615" s="20" t="s">
        <v>697</v>
      </c>
      <c r="H615" t="s">
        <v>416</v>
      </c>
      <c r="I615" s="6" t="s">
        <v>723</v>
      </c>
      <c r="J615" s="6" t="s">
        <v>751</v>
      </c>
      <c r="K615" s="6">
        <v>55</v>
      </c>
    </row>
    <row r="616" spans="5:11" x14ac:dyDescent="0.25">
      <c r="E616" s="20" t="s">
        <v>17</v>
      </c>
      <c r="F616" s="19" t="str">
        <f>IFERROR(_xlfn.XLOOKUP(E616,#REF!,#REF!), "")</f>
        <v/>
      </c>
      <c r="G616" s="20" t="s">
        <v>698</v>
      </c>
      <c r="H616" t="s">
        <v>417</v>
      </c>
      <c r="I616" s="6" t="s">
        <v>723</v>
      </c>
      <c r="J616" s="6" t="s">
        <v>751</v>
      </c>
      <c r="K616" s="6">
        <v>35</v>
      </c>
    </row>
    <row r="617" spans="5:11" x14ac:dyDescent="0.25">
      <c r="E617" s="20" t="s">
        <v>17</v>
      </c>
      <c r="F617" s="19" t="str">
        <f>IFERROR(_xlfn.XLOOKUP(E617,#REF!,#REF!), "")</f>
        <v/>
      </c>
      <c r="G617" s="20" t="s">
        <v>699</v>
      </c>
      <c r="H617" t="s">
        <v>418</v>
      </c>
      <c r="I617" s="6" t="s">
        <v>723</v>
      </c>
      <c r="J617" s="6" t="s">
        <v>751</v>
      </c>
      <c r="K617" s="6">
        <v>4</v>
      </c>
    </row>
    <row r="618" spans="5:11" x14ac:dyDescent="0.25">
      <c r="E618" s="20" t="s">
        <v>17</v>
      </c>
      <c r="F618" s="19" t="str">
        <f>IFERROR(_xlfn.XLOOKUP(E618,#REF!,#REF!), "")</f>
        <v/>
      </c>
      <c r="G618" s="20" t="s">
        <v>700</v>
      </c>
      <c r="H618" t="s">
        <v>419</v>
      </c>
      <c r="I618" s="6" t="s">
        <v>723</v>
      </c>
      <c r="J618" s="6" t="s">
        <v>751</v>
      </c>
      <c r="K618" s="6">
        <v>217</v>
      </c>
    </row>
    <row r="619" spans="5:11" x14ac:dyDescent="0.25">
      <c r="E619" s="20" t="s">
        <v>26</v>
      </c>
      <c r="F619" s="19" t="str">
        <f>IFERROR(_xlfn.XLOOKUP(E619,#REF!,#REF!), "")</f>
        <v/>
      </c>
      <c r="G619" s="20" t="s">
        <v>701</v>
      </c>
      <c r="H619" t="s">
        <v>420</v>
      </c>
      <c r="I619" s="6" t="s">
        <v>825</v>
      </c>
      <c r="J619" s="6" t="s">
        <v>751</v>
      </c>
      <c r="K619" s="6">
        <v>56</v>
      </c>
    </row>
    <row r="620" spans="5:11" x14ac:dyDescent="0.25">
      <c r="E620" s="20" t="s">
        <v>26</v>
      </c>
      <c r="F620" s="19" t="str">
        <f>IFERROR(_xlfn.XLOOKUP(E620,#REF!,#REF!), "")</f>
        <v/>
      </c>
      <c r="G620" s="20" t="s">
        <v>702</v>
      </c>
      <c r="H620" t="s">
        <v>421</v>
      </c>
      <c r="I620" s="6" t="s">
        <v>825</v>
      </c>
      <c r="J620" s="6" t="s">
        <v>751</v>
      </c>
      <c r="K620" s="6">
        <v>32</v>
      </c>
    </row>
    <row r="621" spans="5:11" x14ac:dyDescent="0.25">
      <c r="E621" s="20" t="s">
        <v>26</v>
      </c>
      <c r="F621" s="19" t="str">
        <f>IFERROR(_xlfn.XLOOKUP(E621,#REF!,#REF!), "")</f>
        <v/>
      </c>
      <c r="G621" s="20" t="s">
        <v>703</v>
      </c>
      <c r="H621" t="s">
        <v>422</v>
      </c>
      <c r="I621" s="6" t="s">
        <v>826</v>
      </c>
      <c r="J621" s="6" t="s">
        <v>751</v>
      </c>
      <c r="K621" s="6">
        <v>30</v>
      </c>
    </row>
    <row r="622" spans="5:11" x14ac:dyDescent="0.25">
      <c r="E622" s="20" t="s">
        <v>26</v>
      </c>
      <c r="F622" s="19" t="str">
        <f>IFERROR(_xlfn.XLOOKUP(E622,#REF!,#REF!), "")</f>
        <v/>
      </c>
      <c r="G622" s="20" t="s">
        <v>704</v>
      </c>
      <c r="H622" t="s">
        <v>423</v>
      </c>
      <c r="I622" s="6" t="s">
        <v>738</v>
      </c>
      <c r="J622" s="6" t="s">
        <v>751</v>
      </c>
      <c r="K622" s="6">
        <v>38</v>
      </c>
    </row>
    <row r="623" spans="5:11" x14ac:dyDescent="0.25">
      <c r="E623" s="20" t="s">
        <v>27</v>
      </c>
      <c r="F623" s="19" t="str">
        <f>IFERROR(_xlfn.XLOOKUP(E623,#REF!,#REF!), "")</f>
        <v/>
      </c>
      <c r="G623" s="20" t="s">
        <v>705</v>
      </c>
      <c r="H623" t="s">
        <v>424</v>
      </c>
      <c r="I623" s="6" t="s">
        <v>827</v>
      </c>
      <c r="J623" s="6" t="s">
        <v>751</v>
      </c>
      <c r="K623" s="6">
        <v>24</v>
      </c>
    </row>
    <row r="624" spans="5:11" x14ac:dyDescent="0.25">
      <c r="E624" s="20" t="s">
        <v>27</v>
      </c>
      <c r="F624" s="19" t="str">
        <f>IFERROR(_xlfn.XLOOKUP(E624,#REF!,#REF!), "")</f>
        <v/>
      </c>
      <c r="G624" s="20" t="s">
        <v>706</v>
      </c>
      <c r="H624" t="s">
        <v>425</v>
      </c>
      <c r="I624" s="6" t="s">
        <v>806</v>
      </c>
      <c r="J624" s="6" t="s">
        <v>751</v>
      </c>
      <c r="K624" s="6">
        <v>6</v>
      </c>
    </row>
    <row r="625" spans="5:11" x14ac:dyDescent="0.25">
      <c r="E625" s="20" t="s">
        <v>27</v>
      </c>
      <c r="F625" s="19" t="str">
        <f>IFERROR(_xlfn.XLOOKUP(E625,#REF!,#REF!), "")</f>
        <v/>
      </c>
      <c r="G625" s="20" t="s">
        <v>707</v>
      </c>
      <c r="H625" t="s">
        <v>426</v>
      </c>
      <c r="I625" s="6" t="s">
        <v>806</v>
      </c>
      <c r="J625" s="6" t="s">
        <v>751</v>
      </c>
      <c r="K625" s="6">
        <v>24</v>
      </c>
    </row>
    <row r="626" spans="5:11" x14ac:dyDescent="0.25">
      <c r="E626" s="20" t="s">
        <v>27</v>
      </c>
      <c r="F626" s="19" t="str">
        <f>IFERROR(_xlfn.XLOOKUP(E626,#REF!,#REF!), "")</f>
        <v/>
      </c>
      <c r="G626" s="20" t="s">
        <v>708</v>
      </c>
      <c r="H626" t="s">
        <v>427</v>
      </c>
      <c r="I626" s="6" t="s">
        <v>738</v>
      </c>
      <c r="J626" s="6" t="s">
        <v>751</v>
      </c>
      <c r="K626" s="6">
        <v>2</v>
      </c>
    </row>
    <row r="627" spans="5:11" x14ac:dyDescent="0.25">
      <c r="E627" s="20" t="s">
        <v>27</v>
      </c>
      <c r="F627" s="19" t="str">
        <f>IFERROR(_xlfn.XLOOKUP(E627,#REF!,#REF!), "")</f>
        <v/>
      </c>
      <c r="G627" s="20" t="s">
        <v>709</v>
      </c>
      <c r="H627" t="s">
        <v>428</v>
      </c>
      <c r="I627" s="6" t="s">
        <v>828</v>
      </c>
      <c r="J627" s="6" t="s">
        <v>751</v>
      </c>
      <c r="K627" s="6">
        <v>1</v>
      </c>
    </row>
    <row r="628" spans="5:11" x14ac:dyDescent="0.25">
      <c r="E628" s="20" t="s">
        <v>27</v>
      </c>
      <c r="F628" s="19" t="str">
        <f>IFERROR(_xlfn.XLOOKUP(E628,#REF!,#REF!), "")</f>
        <v/>
      </c>
      <c r="G628" s="20" t="s">
        <v>710</v>
      </c>
      <c r="H628" t="s">
        <v>429</v>
      </c>
      <c r="I628" s="6" t="s">
        <v>829</v>
      </c>
      <c r="J628" s="6" t="s">
        <v>751</v>
      </c>
      <c r="K628" s="6">
        <v>1</v>
      </c>
    </row>
    <row r="629" spans="5:11" x14ac:dyDescent="0.25">
      <c r="E629" s="20" t="s">
        <v>29</v>
      </c>
      <c r="F629" s="19" t="str">
        <f>IFERROR(_xlfn.XLOOKUP(E629,#REF!,#REF!), "")</f>
        <v/>
      </c>
      <c r="G629" s="20" t="s">
        <v>711</v>
      </c>
      <c r="H629" t="s">
        <v>430</v>
      </c>
      <c r="I629" s="6" t="s">
        <v>830</v>
      </c>
      <c r="J629" s="6" t="s">
        <v>751</v>
      </c>
      <c r="K629" s="6">
        <v>38</v>
      </c>
    </row>
    <row r="630" spans="5:11" x14ac:dyDescent="0.25">
      <c r="E630" s="20" t="s">
        <v>29</v>
      </c>
      <c r="F630" s="19" t="str">
        <f>IFERROR(_xlfn.XLOOKUP(E630,#REF!,#REF!), "")</f>
        <v/>
      </c>
      <c r="G630" s="20" t="s">
        <v>712</v>
      </c>
      <c r="H630" t="s">
        <v>431</v>
      </c>
      <c r="I630" s="6" t="s">
        <v>718</v>
      </c>
      <c r="J630" s="6" t="s">
        <v>751</v>
      </c>
      <c r="K630" s="6">
        <v>3</v>
      </c>
    </row>
    <row r="631" spans="5:11" x14ac:dyDescent="0.25">
      <c r="E631" s="20" t="s">
        <v>30</v>
      </c>
      <c r="F631" s="19" t="str">
        <f>IFERROR(_xlfn.XLOOKUP(E631,#REF!,#REF!), "")</f>
        <v/>
      </c>
      <c r="G631" s="20" t="s">
        <v>713</v>
      </c>
      <c r="H631" t="s">
        <v>432</v>
      </c>
      <c r="I631" s="6" t="s">
        <v>718</v>
      </c>
      <c r="J631" s="6" t="s">
        <v>751</v>
      </c>
      <c r="K631" s="6">
        <v>217</v>
      </c>
    </row>
    <row r="632" spans="5:11" x14ac:dyDescent="0.25">
      <c r="E632" s="20" t="s">
        <v>31</v>
      </c>
      <c r="F632" s="19" t="str">
        <f>IFERROR(_xlfn.XLOOKUP(E632,#REF!,#REF!), "")</f>
        <v/>
      </c>
      <c r="G632" s="20" t="s">
        <v>714</v>
      </c>
      <c r="H632" t="s">
        <v>433</v>
      </c>
      <c r="I632" s="6" t="s">
        <v>831</v>
      </c>
      <c r="J632" s="6" t="s">
        <v>751</v>
      </c>
      <c r="K632" s="6">
        <v>2</v>
      </c>
    </row>
    <row r="633" spans="5:11" x14ac:dyDescent="0.25">
      <c r="E633" s="20" t="s">
        <v>32</v>
      </c>
      <c r="F633" s="19" t="str">
        <f>IFERROR(_xlfn.XLOOKUP(E633,#REF!,#REF!), "")</f>
        <v/>
      </c>
      <c r="G633" s="20" t="s">
        <v>715</v>
      </c>
      <c r="H633" t="s">
        <v>434</v>
      </c>
      <c r="I633" s="6" t="s">
        <v>832</v>
      </c>
      <c r="J633" s="6" t="s">
        <v>751</v>
      </c>
      <c r="K633" s="6">
        <v>56</v>
      </c>
    </row>
  </sheetData>
  <autoFilter ref="A1:K317" xr:uid="{211CCB2D-C84A-4688-B76F-DF6F402C24BB}"/>
  <phoneticPr fontId="1" type="noConversion"/>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D5AF8-10EE-45D2-B964-ADDE4751DEE4}">
  <dimension ref="A1:T221"/>
  <sheetViews>
    <sheetView workbookViewId="0">
      <selection activeCell="O18" sqref="O18"/>
    </sheetView>
  </sheetViews>
  <sheetFormatPr defaultRowHeight="15" x14ac:dyDescent="0.25"/>
  <cols>
    <col min="1" max="1" width="36.28515625" style="8" bestFit="1" customWidth="1"/>
    <col min="2" max="2" width="29.140625" style="8" customWidth="1"/>
    <col min="11" max="11" width="11.28515625" bestFit="1" customWidth="1"/>
  </cols>
  <sheetData>
    <row r="1" spans="1:20" x14ac:dyDescent="0.25">
      <c r="A1" s="9"/>
      <c r="B1" s="9"/>
      <c r="K1" t="e" cm="1">
        <f t="array" ref="K1">_xlfn._xlws.FILTER(C:C,C:C&lt;&gt;FALSE)</f>
        <v>#REF!</v>
      </c>
    </row>
    <row r="2" spans="1:20" ht="30" x14ac:dyDescent="0.25">
      <c r="A2" s="18"/>
      <c r="B2" s="18"/>
      <c r="O2" s="21" t="s">
        <v>856</v>
      </c>
      <c r="P2" s="22"/>
      <c r="Q2" s="22"/>
      <c r="R2" s="22"/>
      <c r="S2" s="22"/>
      <c r="T2" s="22"/>
    </row>
    <row r="3" spans="1:20" ht="30.75" thickBot="1" x14ac:dyDescent="0.3">
      <c r="A3" s="10" t="s">
        <v>833</v>
      </c>
      <c r="B3" s="10" t="s">
        <v>853</v>
      </c>
      <c r="C3" t="s">
        <v>855</v>
      </c>
      <c r="O3" s="22"/>
      <c r="P3" s="22"/>
      <c r="Q3" s="22"/>
      <c r="R3" s="22"/>
      <c r="S3" s="22"/>
      <c r="T3" s="22"/>
    </row>
    <row r="4" spans="1:20" ht="15.75" thickTop="1" x14ac:dyDescent="0.25">
      <c r="A4" s="11" t="s">
        <v>834</v>
      </c>
      <c r="B4" s="12" t="s">
        <v>854</v>
      </c>
      <c r="C4" t="e">
        <f>IF(B4="Sim",(_xlfn.XLOOKUP('(misc) bot de cod mun'!A4,#REF!,#REF!)))</f>
        <v>#REF!</v>
      </c>
      <c r="O4" s="22"/>
      <c r="P4" s="22"/>
      <c r="Q4" s="22"/>
      <c r="R4" s="22"/>
      <c r="S4" s="22"/>
      <c r="T4" s="22"/>
    </row>
    <row r="5" spans="1:20" x14ac:dyDescent="0.25">
      <c r="A5" s="13" t="s">
        <v>835</v>
      </c>
      <c r="B5" s="12" t="s">
        <v>854</v>
      </c>
      <c r="C5" t="e">
        <f>IF(B5="Sim",(_xlfn.XLOOKUP('(misc) bot de cod mun'!A5,#REF!,#REF!)))</f>
        <v>#REF!</v>
      </c>
      <c r="O5" s="22"/>
      <c r="P5" s="22"/>
      <c r="Q5" s="22"/>
      <c r="R5" s="22"/>
      <c r="S5" s="22"/>
      <c r="T5" s="22"/>
    </row>
    <row r="6" spans="1:20" x14ac:dyDescent="0.25">
      <c r="A6" s="11" t="s">
        <v>836</v>
      </c>
      <c r="B6" s="15"/>
      <c r="C6" t="b">
        <f>IF(B6="Sim",(_xlfn.XLOOKUP('(misc) bot de cod mun'!A6,#REF!,#REF!)))</f>
        <v>0</v>
      </c>
      <c r="O6" s="22"/>
      <c r="P6" s="22"/>
      <c r="Q6" s="22"/>
      <c r="R6" s="22"/>
      <c r="S6" s="22"/>
      <c r="T6" s="22"/>
    </row>
    <row r="7" spans="1:20" x14ac:dyDescent="0.25">
      <c r="A7" s="13" t="s">
        <v>837</v>
      </c>
      <c r="B7" s="14"/>
      <c r="C7" t="b">
        <f>IF(B7="Sim",(_xlfn.XLOOKUP('(misc) bot de cod mun'!A7,#REF!,#REF!)))</f>
        <v>0</v>
      </c>
      <c r="O7" s="22"/>
      <c r="P7" s="22"/>
      <c r="Q7" s="22"/>
      <c r="R7" s="22"/>
      <c r="S7" s="22"/>
      <c r="T7" s="22"/>
    </row>
    <row r="8" spans="1:20" x14ac:dyDescent="0.25">
      <c r="A8" s="11" t="s">
        <v>835</v>
      </c>
      <c r="B8" s="12" t="s">
        <v>854</v>
      </c>
      <c r="C8" t="e">
        <f>IF(B8="Sim",(_xlfn.XLOOKUP('(misc) bot de cod mun'!A8,#REF!,#REF!)))</f>
        <v>#REF!</v>
      </c>
      <c r="O8" s="22"/>
      <c r="P8" s="22"/>
      <c r="Q8" s="22"/>
      <c r="R8" s="22"/>
      <c r="S8" s="22"/>
      <c r="T8" s="22"/>
    </row>
    <row r="9" spans="1:20" x14ac:dyDescent="0.25">
      <c r="A9" s="13" t="s">
        <v>838</v>
      </c>
      <c r="B9" s="14"/>
      <c r="C9" t="b">
        <f>IF(B9="Sim",(_xlfn.XLOOKUP('(misc) bot de cod mun'!A9,#REF!,#REF!)))</f>
        <v>0</v>
      </c>
      <c r="O9" s="22"/>
      <c r="P9" s="22"/>
      <c r="Q9" s="22"/>
      <c r="R9" s="22"/>
      <c r="S9" s="22"/>
      <c r="T9" s="22"/>
    </row>
    <row r="10" spans="1:20" x14ac:dyDescent="0.25">
      <c r="A10" s="11" t="s">
        <v>839</v>
      </c>
      <c r="B10" s="15"/>
      <c r="C10" t="b">
        <f>IF(B10="Sim",(_xlfn.XLOOKUP('(misc) bot de cod mun'!A10,#REF!,#REF!)))</f>
        <v>0</v>
      </c>
      <c r="O10" s="22"/>
      <c r="P10" s="22"/>
      <c r="Q10" s="22"/>
      <c r="R10" s="22"/>
      <c r="S10" s="22"/>
      <c r="T10" s="22"/>
    </row>
    <row r="11" spans="1:20" x14ac:dyDescent="0.25">
      <c r="A11" s="13" t="s">
        <v>840</v>
      </c>
      <c r="B11" s="14"/>
      <c r="C11" t="b">
        <f>IF(B11="Sim",(_xlfn.XLOOKUP('(misc) bot de cod mun'!A11,#REF!,#REF!)))</f>
        <v>0</v>
      </c>
      <c r="O11" s="22"/>
      <c r="P11" s="22"/>
      <c r="Q11" s="22"/>
      <c r="R11" s="22"/>
      <c r="S11" s="22"/>
      <c r="T11" s="22"/>
    </row>
    <row r="12" spans="1:20" x14ac:dyDescent="0.25">
      <c r="A12" s="11" t="s">
        <v>841</v>
      </c>
      <c r="B12" s="12" t="s">
        <v>854</v>
      </c>
      <c r="C12" t="e">
        <f>IF(B12="Sim",(_xlfn.XLOOKUP('(misc) bot de cod mun'!A12,#REF!,#REF!)))</f>
        <v>#REF!</v>
      </c>
      <c r="O12" s="22"/>
      <c r="P12" s="22"/>
      <c r="Q12" s="22"/>
      <c r="R12" s="22"/>
      <c r="S12" s="22"/>
      <c r="T12" s="22"/>
    </row>
    <row r="13" spans="1:20" x14ac:dyDescent="0.25">
      <c r="A13" s="13" t="s">
        <v>842</v>
      </c>
      <c r="B13" s="14"/>
      <c r="C13" t="b">
        <f>IF(B13="Sim",(_xlfn.XLOOKUP('(misc) bot de cod mun'!A13,#REF!,#REF!)))</f>
        <v>0</v>
      </c>
      <c r="O13" s="22"/>
      <c r="P13" s="22"/>
      <c r="Q13" s="22"/>
      <c r="R13" s="22"/>
      <c r="S13" s="22"/>
      <c r="T13" s="22"/>
    </row>
    <row r="14" spans="1:20" x14ac:dyDescent="0.25">
      <c r="A14" s="11" t="s">
        <v>843</v>
      </c>
      <c r="B14" s="12" t="s">
        <v>854</v>
      </c>
      <c r="C14" t="e">
        <f>IF(B14="Sim",(_xlfn.XLOOKUP('(misc) bot de cod mun'!A14,#REF!,#REF!)))</f>
        <v>#REF!</v>
      </c>
      <c r="O14" s="22"/>
      <c r="P14" s="22"/>
      <c r="Q14" s="22"/>
      <c r="R14" s="22"/>
      <c r="S14" s="22"/>
      <c r="T14" s="22"/>
    </row>
    <row r="15" spans="1:20" x14ac:dyDescent="0.25">
      <c r="A15" s="13" t="s">
        <v>844</v>
      </c>
      <c r="B15" s="14"/>
      <c r="C15" t="b">
        <f>IF(B15="Sim",(_xlfn.XLOOKUP('(misc) bot de cod mun'!A15,#REF!,#REF!)))</f>
        <v>0</v>
      </c>
      <c r="O15" s="22"/>
      <c r="P15" s="22"/>
      <c r="Q15" s="22"/>
      <c r="R15" s="22"/>
      <c r="S15" s="22"/>
      <c r="T15" s="22"/>
    </row>
    <row r="16" spans="1:20" x14ac:dyDescent="0.25">
      <c r="A16" s="11" t="s">
        <v>836</v>
      </c>
      <c r="B16" s="15"/>
      <c r="C16" t="b">
        <f>IF(B16="Sim",(_xlfn.XLOOKUP('(misc) bot de cod mun'!A16,#REF!,#REF!)))</f>
        <v>0</v>
      </c>
      <c r="O16" s="22"/>
      <c r="P16" s="22"/>
      <c r="Q16" s="22"/>
      <c r="R16" s="22"/>
      <c r="S16" s="22"/>
      <c r="T16" s="22"/>
    </row>
    <row r="17" spans="1:20" x14ac:dyDescent="0.25">
      <c r="A17" s="13" t="s">
        <v>845</v>
      </c>
      <c r="B17" s="14"/>
      <c r="C17" t="b">
        <f>IF(B17="Sim",(_xlfn.XLOOKUP('(misc) bot de cod mun'!A17,#REF!,#REF!)))</f>
        <v>0</v>
      </c>
      <c r="O17" s="22"/>
      <c r="P17" s="22"/>
      <c r="Q17" s="22"/>
      <c r="R17" s="22"/>
      <c r="S17" s="22"/>
      <c r="T17" s="22"/>
    </row>
    <row r="18" spans="1:20" x14ac:dyDescent="0.25">
      <c r="A18" s="11" t="s">
        <v>842</v>
      </c>
      <c r="B18" s="15"/>
      <c r="C18" t="b">
        <f>IF(B18="Sim",(_xlfn.XLOOKUP('(misc) bot de cod mun'!A18,#REF!,#REF!)))</f>
        <v>0</v>
      </c>
    </row>
    <row r="19" spans="1:20" x14ac:dyDescent="0.25">
      <c r="A19" s="13" t="s">
        <v>836</v>
      </c>
      <c r="B19" s="14"/>
      <c r="C19" t="b">
        <f>IF(B19="Sim",(_xlfn.XLOOKUP('(misc) bot de cod mun'!A19,#REF!,#REF!)))</f>
        <v>0</v>
      </c>
    </row>
    <row r="20" spans="1:20" x14ac:dyDescent="0.25">
      <c r="A20" s="11" t="s">
        <v>846</v>
      </c>
      <c r="B20" s="15"/>
      <c r="C20" t="b">
        <f>IF(B20="Sim",(_xlfn.XLOOKUP('(misc) bot de cod mun'!A20,#REF!,#REF!)))</f>
        <v>0</v>
      </c>
    </row>
    <row r="21" spans="1:20" x14ac:dyDescent="0.25">
      <c r="A21" s="13" t="s">
        <v>844</v>
      </c>
      <c r="B21" s="14"/>
      <c r="C21" t="b">
        <f>IF(B21="Sim",(_xlfn.XLOOKUP('(misc) bot de cod mun'!A21,#REF!,#REF!)))</f>
        <v>0</v>
      </c>
    </row>
    <row r="22" spans="1:20" x14ac:dyDescent="0.25">
      <c r="A22" s="11" t="s">
        <v>847</v>
      </c>
      <c r="B22" s="15"/>
      <c r="C22" t="b">
        <f>IF(B22="Sim",(_xlfn.XLOOKUP('(misc) bot de cod mun'!A22,#REF!,#REF!)))</f>
        <v>0</v>
      </c>
    </row>
    <row r="23" spans="1:20" x14ac:dyDescent="0.25">
      <c r="A23" s="13" t="s">
        <v>838</v>
      </c>
      <c r="B23" s="12" t="s">
        <v>854</v>
      </c>
      <c r="C23" t="e">
        <f>IF(B23="Sim",(_xlfn.XLOOKUP('(misc) bot de cod mun'!A23,#REF!,#REF!)))</f>
        <v>#REF!</v>
      </c>
    </row>
    <row r="24" spans="1:20" x14ac:dyDescent="0.25">
      <c r="A24" s="11" t="s">
        <v>847</v>
      </c>
      <c r="B24" s="12" t="s">
        <v>854</v>
      </c>
      <c r="C24" t="e">
        <f>IF(B24="Sim",(_xlfn.XLOOKUP('(misc) bot de cod mun'!A24,#REF!,#REF!)))</f>
        <v>#REF!</v>
      </c>
    </row>
    <row r="25" spans="1:20" x14ac:dyDescent="0.25">
      <c r="A25" s="13" t="s">
        <v>845</v>
      </c>
      <c r="B25" s="14"/>
      <c r="C25" t="b">
        <f>IF(B25="Sim",(_xlfn.XLOOKUP('(misc) bot de cod mun'!A25,#REF!,#REF!)))</f>
        <v>0</v>
      </c>
    </row>
    <row r="26" spans="1:20" x14ac:dyDescent="0.25">
      <c r="A26" s="11" t="s">
        <v>848</v>
      </c>
      <c r="B26" s="15"/>
      <c r="C26" t="b">
        <f>IF(B26="Sim",(_xlfn.XLOOKUP('(misc) bot de cod mun'!A26,#REF!,#REF!)))</f>
        <v>0</v>
      </c>
    </row>
    <row r="27" spans="1:20" x14ac:dyDescent="0.25">
      <c r="A27" s="13" t="s">
        <v>841</v>
      </c>
      <c r="B27" s="12" t="s">
        <v>854</v>
      </c>
      <c r="C27" t="e">
        <f>IF(B27="Sim",(_xlfn.XLOOKUP('(misc) bot de cod mun'!A27,#REF!,#REF!)))</f>
        <v>#REF!</v>
      </c>
    </row>
    <row r="28" spans="1:20" x14ac:dyDescent="0.25">
      <c r="A28" s="11" t="s">
        <v>849</v>
      </c>
      <c r="B28" s="15"/>
      <c r="C28" t="b">
        <f>IF(B28="Sim",(_xlfn.XLOOKUP('(misc) bot de cod mun'!A28,#REF!,#REF!)))</f>
        <v>0</v>
      </c>
    </row>
    <row r="29" spans="1:20" x14ac:dyDescent="0.25">
      <c r="A29" s="13" t="s">
        <v>846</v>
      </c>
      <c r="B29" s="12" t="s">
        <v>854</v>
      </c>
      <c r="C29" t="e">
        <f>IF(B29="Sim",(_xlfn.XLOOKUP('(misc) bot de cod mun'!A29,#REF!,#REF!)))</f>
        <v>#REF!</v>
      </c>
    </row>
    <row r="30" spans="1:20" x14ac:dyDescent="0.25">
      <c r="A30" s="11" t="s">
        <v>847</v>
      </c>
      <c r="B30" s="15"/>
      <c r="C30" t="b">
        <f>IF(B30="Sim",(_xlfn.XLOOKUP('(misc) bot de cod mun'!A30,#REF!,#REF!)))</f>
        <v>0</v>
      </c>
    </row>
    <row r="31" spans="1:20" x14ac:dyDescent="0.25">
      <c r="A31" s="13" t="s">
        <v>844</v>
      </c>
      <c r="B31" s="14"/>
      <c r="C31" t="b">
        <f>IF(B31="Sim",(_xlfn.XLOOKUP('(misc) bot de cod mun'!A31,#REF!,#REF!)))</f>
        <v>0</v>
      </c>
    </row>
    <row r="32" spans="1:20" x14ac:dyDescent="0.25">
      <c r="A32" s="11" t="s">
        <v>840</v>
      </c>
      <c r="B32" s="15"/>
      <c r="C32" t="b">
        <f>IF(B32="Sim",(_xlfn.XLOOKUP('(misc) bot de cod mun'!A32,#REF!,#REF!)))</f>
        <v>0</v>
      </c>
    </row>
    <row r="33" spans="1:3" x14ac:dyDescent="0.25">
      <c r="A33" s="13" t="s">
        <v>849</v>
      </c>
      <c r="B33" s="14"/>
      <c r="C33" t="b">
        <f>IF(B33="Sim",(_xlfn.XLOOKUP('(misc) bot de cod mun'!A33,#REF!,#REF!)))</f>
        <v>0</v>
      </c>
    </row>
    <row r="34" spans="1:3" x14ac:dyDescent="0.25">
      <c r="A34" s="11" t="s">
        <v>845</v>
      </c>
      <c r="B34" s="15"/>
      <c r="C34" t="b">
        <f>IF(B34="Sim",(_xlfn.XLOOKUP('(misc) bot de cod mun'!A34,#REF!,#REF!)))</f>
        <v>0</v>
      </c>
    </row>
    <row r="35" spans="1:3" x14ac:dyDescent="0.25">
      <c r="A35" s="13" t="s">
        <v>850</v>
      </c>
      <c r="B35" s="14"/>
      <c r="C35" t="b">
        <f>IF(B35="Sim",(_xlfn.XLOOKUP('(misc) bot de cod mun'!A35,#REF!,#REF!)))</f>
        <v>0</v>
      </c>
    </row>
    <row r="36" spans="1:3" x14ac:dyDescent="0.25">
      <c r="A36" s="11" t="s">
        <v>842</v>
      </c>
      <c r="B36" s="15"/>
      <c r="C36" t="b">
        <f>IF(B36="Sim",(_xlfn.XLOOKUP('(misc) bot de cod mun'!A36,#REF!,#REF!)))</f>
        <v>0</v>
      </c>
    </row>
    <row r="37" spans="1:3" x14ac:dyDescent="0.25">
      <c r="A37" s="13" t="s">
        <v>840</v>
      </c>
      <c r="B37" s="14"/>
      <c r="C37" t="b">
        <f>IF(B37="Sim",(_xlfn.XLOOKUP('(misc) bot de cod mun'!A37,#REF!,#REF!)))</f>
        <v>0</v>
      </c>
    </row>
    <row r="38" spans="1:3" x14ac:dyDescent="0.25">
      <c r="A38" s="11" t="s">
        <v>834</v>
      </c>
      <c r="B38" s="15"/>
      <c r="C38" t="b">
        <f>IF(B38="Sim",(_xlfn.XLOOKUP('(misc) bot de cod mun'!A38,#REF!,#REF!)))</f>
        <v>0</v>
      </c>
    </row>
    <row r="39" spans="1:3" x14ac:dyDescent="0.25">
      <c r="A39" s="13" t="s">
        <v>838</v>
      </c>
      <c r="B39" s="14"/>
      <c r="C39" t="b">
        <f>IF(B39="Sim",(_xlfn.XLOOKUP('(misc) bot de cod mun'!A39,#REF!,#REF!)))</f>
        <v>0</v>
      </c>
    </row>
    <row r="40" spans="1:3" x14ac:dyDescent="0.25">
      <c r="A40" s="11" t="s">
        <v>836</v>
      </c>
      <c r="B40" s="15"/>
      <c r="C40" t="b">
        <f>IF(B40="Sim",(_xlfn.XLOOKUP('(misc) bot de cod mun'!A40,#REF!,#REF!)))</f>
        <v>0</v>
      </c>
    </row>
    <row r="41" spans="1:3" x14ac:dyDescent="0.25">
      <c r="A41" s="13" t="s">
        <v>838</v>
      </c>
      <c r="B41" s="14"/>
      <c r="C41" t="b">
        <f>IF(B41="Sim",(_xlfn.XLOOKUP('(misc) bot de cod mun'!A41,#REF!,#REF!)))</f>
        <v>0</v>
      </c>
    </row>
    <row r="42" spans="1:3" x14ac:dyDescent="0.25">
      <c r="A42" s="11" t="s">
        <v>835</v>
      </c>
      <c r="B42" s="12" t="s">
        <v>854</v>
      </c>
      <c r="C42" t="e">
        <f>IF(B42="Sim",(_xlfn.XLOOKUP('(misc) bot de cod mun'!A42,#REF!,#REF!)))</f>
        <v>#REF!</v>
      </c>
    </row>
    <row r="43" spans="1:3" x14ac:dyDescent="0.25">
      <c r="A43" s="13" t="s">
        <v>849</v>
      </c>
      <c r="B43" s="12" t="s">
        <v>854</v>
      </c>
      <c r="C43" t="e">
        <f>IF(B43="Sim",(_xlfn.XLOOKUP('(misc) bot de cod mun'!A43,#REF!,#REF!)))</f>
        <v>#REF!</v>
      </c>
    </row>
    <row r="44" spans="1:3" x14ac:dyDescent="0.25">
      <c r="A44" s="11" t="s">
        <v>834</v>
      </c>
      <c r="B44" s="12" t="s">
        <v>854</v>
      </c>
      <c r="C44" t="e">
        <f>IF(B44="Sim",(_xlfn.XLOOKUP('(misc) bot de cod mun'!A44,#REF!,#REF!)))</f>
        <v>#REF!</v>
      </c>
    </row>
    <row r="45" spans="1:3" x14ac:dyDescent="0.25">
      <c r="A45" s="13" t="s">
        <v>843</v>
      </c>
      <c r="B45" s="14"/>
      <c r="C45" t="b">
        <f>IF(B45="Sim",(_xlfn.XLOOKUP('(misc) bot de cod mun'!A45,#REF!,#REF!)))</f>
        <v>0</v>
      </c>
    </row>
    <row r="46" spans="1:3" x14ac:dyDescent="0.25">
      <c r="A46" s="11" t="s">
        <v>847</v>
      </c>
      <c r="B46" s="15"/>
      <c r="C46" t="b">
        <f>IF(B46="Sim",(_xlfn.XLOOKUP('(misc) bot de cod mun'!A46,#REF!,#REF!)))</f>
        <v>0</v>
      </c>
    </row>
    <row r="47" spans="1:3" x14ac:dyDescent="0.25">
      <c r="A47" s="13" t="s">
        <v>848</v>
      </c>
      <c r="B47" s="14"/>
      <c r="C47" t="b">
        <f>IF(B47="Sim",(_xlfn.XLOOKUP('(misc) bot de cod mun'!A47,#REF!,#REF!)))</f>
        <v>0</v>
      </c>
    </row>
    <row r="48" spans="1:3" x14ac:dyDescent="0.25">
      <c r="A48" s="11" t="s">
        <v>848</v>
      </c>
      <c r="B48" s="15"/>
      <c r="C48" t="b">
        <f>IF(B48="Sim",(_xlfn.XLOOKUP('(misc) bot de cod mun'!A48,#REF!,#REF!)))</f>
        <v>0</v>
      </c>
    </row>
    <row r="49" spans="1:3" x14ac:dyDescent="0.25">
      <c r="A49" s="13" t="s">
        <v>843</v>
      </c>
      <c r="B49" s="14"/>
      <c r="C49" t="b">
        <f>IF(B49="Sim",(_xlfn.XLOOKUP('(misc) bot de cod mun'!A49,#REF!,#REF!)))</f>
        <v>0</v>
      </c>
    </row>
    <row r="50" spans="1:3" x14ac:dyDescent="0.25">
      <c r="A50" s="11" t="s">
        <v>842</v>
      </c>
      <c r="B50" s="15"/>
      <c r="C50" t="b">
        <f>IF(B50="Sim",(_xlfn.XLOOKUP('(misc) bot de cod mun'!A50,#REF!,#REF!)))</f>
        <v>0</v>
      </c>
    </row>
    <row r="51" spans="1:3" x14ac:dyDescent="0.25">
      <c r="A51" s="13" t="s">
        <v>844</v>
      </c>
      <c r="B51" s="14"/>
      <c r="C51" t="b">
        <f>IF(B51="Sim",(_xlfn.XLOOKUP('(misc) bot de cod mun'!A51,#REF!,#REF!)))</f>
        <v>0</v>
      </c>
    </row>
    <row r="52" spans="1:3" x14ac:dyDescent="0.25">
      <c r="A52" s="11" t="s">
        <v>851</v>
      </c>
      <c r="B52" s="15"/>
      <c r="C52" t="b">
        <f>IF(B52="Sim",(_xlfn.XLOOKUP('(misc) bot de cod mun'!A52,#REF!,#REF!)))</f>
        <v>0</v>
      </c>
    </row>
    <row r="53" spans="1:3" x14ac:dyDescent="0.25">
      <c r="A53" s="13" t="s">
        <v>843</v>
      </c>
      <c r="B53" s="12" t="s">
        <v>854</v>
      </c>
      <c r="C53" t="e">
        <f>IF(B53="Sim",(_xlfn.XLOOKUP('(misc) bot de cod mun'!A53,#REF!,#REF!)))</f>
        <v>#REF!</v>
      </c>
    </row>
    <row r="54" spans="1:3" x14ac:dyDescent="0.25">
      <c r="A54" s="11" t="s">
        <v>842</v>
      </c>
      <c r="B54" s="15"/>
      <c r="C54" t="b">
        <f>IF(B54="Sim",(_xlfn.XLOOKUP('(misc) bot de cod mun'!A54,#REF!,#REF!)))</f>
        <v>0</v>
      </c>
    </row>
    <row r="55" spans="1:3" x14ac:dyDescent="0.25">
      <c r="A55" s="13" t="s">
        <v>835</v>
      </c>
      <c r="B55" s="12" t="s">
        <v>854</v>
      </c>
      <c r="C55" t="e">
        <f>IF(B55="Sim",(_xlfn.XLOOKUP('(misc) bot de cod mun'!A55,#REF!,#REF!)))</f>
        <v>#REF!</v>
      </c>
    </row>
    <row r="56" spans="1:3" x14ac:dyDescent="0.25">
      <c r="A56" s="11" t="s">
        <v>845</v>
      </c>
      <c r="B56" s="15"/>
      <c r="C56" t="b">
        <f>IF(B56="Sim",(_xlfn.XLOOKUP('(misc) bot de cod mun'!A56,#REF!,#REF!)))</f>
        <v>0</v>
      </c>
    </row>
    <row r="57" spans="1:3" x14ac:dyDescent="0.25">
      <c r="A57" s="13" t="s">
        <v>845</v>
      </c>
      <c r="B57" s="14"/>
      <c r="C57" t="b">
        <f>IF(B57="Sim",(_xlfn.XLOOKUP('(misc) bot de cod mun'!A57,#REF!,#REF!)))</f>
        <v>0</v>
      </c>
    </row>
    <row r="58" spans="1:3" x14ac:dyDescent="0.25">
      <c r="A58" s="11" t="s">
        <v>842</v>
      </c>
      <c r="B58" s="15"/>
      <c r="C58" t="b">
        <f>IF(B58="Sim",(_xlfn.XLOOKUP('(misc) bot de cod mun'!A58,#REF!,#REF!)))</f>
        <v>0</v>
      </c>
    </row>
    <row r="59" spans="1:3" x14ac:dyDescent="0.25">
      <c r="A59" s="13" t="s">
        <v>842</v>
      </c>
      <c r="B59" s="14"/>
      <c r="C59" t="b">
        <f>IF(B59="Sim",(_xlfn.XLOOKUP('(misc) bot de cod mun'!A59,#REF!,#REF!)))</f>
        <v>0</v>
      </c>
    </row>
    <row r="60" spans="1:3" x14ac:dyDescent="0.25">
      <c r="A60" s="11" t="s">
        <v>836</v>
      </c>
      <c r="B60" s="12" t="s">
        <v>854</v>
      </c>
      <c r="C60" t="e">
        <f>IF(B60="Sim",(_xlfn.XLOOKUP('(misc) bot de cod mun'!A60,#REF!,#REF!)))</f>
        <v>#REF!</v>
      </c>
    </row>
    <row r="61" spans="1:3" x14ac:dyDescent="0.25">
      <c r="A61" s="13" t="s">
        <v>834</v>
      </c>
      <c r="B61" s="12" t="s">
        <v>854</v>
      </c>
      <c r="C61" t="e">
        <f>IF(B61="Sim",(_xlfn.XLOOKUP('(misc) bot de cod mun'!A61,#REF!,#REF!)))</f>
        <v>#REF!</v>
      </c>
    </row>
    <row r="62" spans="1:3" x14ac:dyDescent="0.25">
      <c r="A62" s="11" t="s">
        <v>839</v>
      </c>
      <c r="B62" s="12" t="s">
        <v>854</v>
      </c>
      <c r="C62" t="e">
        <f>IF(B62="Sim",(_xlfn.XLOOKUP('(misc) bot de cod mun'!A62,#REF!,#REF!)))</f>
        <v>#REF!</v>
      </c>
    </row>
    <row r="63" spans="1:3" x14ac:dyDescent="0.25">
      <c r="A63" s="13" t="s">
        <v>835</v>
      </c>
      <c r="B63" s="12" t="s">
        <v>854</v>
      </c>
      <c r="C63" t="e">
        <f>IF(B63="Sim",(_xlfn.XLOOKUP('(misc) bot de cod mun'!A63,#REF!,#REF!)))</f>
        <v>#REF!</v>
      </c>
    </row>
    <row r="64" spans="1:3" x14ac:dyDescent="0.25">
      <c r="A64" s="11" t="s">
        <v>849</v>
      </c>
      <c r="B64" s="12" t="s">
        <v>854</v>
      </c>
      <c r="C64" t="e">
        <f>IF(B64="Sim",(_xlfn.XLOOKUP('(misc) bot de cod mun'!A64,#REF!,#REF!)))</f>
        <v>#REF!</v>
      </c>
    </row>
    <row r="65" spans="1:3" x14ac:dyDescent="0.25">
      <c r="A65" s="13" t="s">
        <v>838</v>
      </c>
      <c r="B65" s="14"/>
      <c r="C65" t="b">
        <f>IF(B65="Sim",(_xlfn.XLOOKUP('(misc) bot de cod mun'!A65,#REF!,#REF!)))</f>
        <v>0</v>
      </c>
    </row>
    <row r="66" spans="1:3" x14ac:dyDescent="0.25">
      <c r="A66" s="11" t="s">
        <v>839</v>
      </c>
      <c r="B66" s="12" t="s">
        <v>854</v>
      </c>
      <c r="C66" t="e">
        <f>IF(B66="Sim",(_xlfn.XLOOKUP('(misc) bot de cod mun'!A66,#REF!,#REF!)))</f>
        <v>#REF!</v>
      </c>
    </row>
    <row r="67" spans="1:3" x14ac:dyDescent="0.25">
      <c r="A67" s="13" t="s">
        <v>845</v>
      </c>
      <c r="B67" s="14"/>
      <c r="C67" t="b">
        <f>IF(B67="Sim",(_xlfn.XLOOKUP('(misc) bot de cod mun'!A67,#REF!,#REF!)))</f>
        <v>0</v>
      </c>
    </row>
    <row r="68" spans="1:3" x14ac:dyDescent="0.25">
      <c r="A68" s="11" t="s">
        <v>843</v>
      </c>
      <c r="B68" s="15"/>
      <c r="C68" t="b">
        <f>IF(B68="Sim",(_xlfn.XLOOKUP('(misc) bot de cod mun'!A68,#REF!,#REF!)))</f>
        <v>0</v>
      </c>
    </row>
    <row r="69" spans="1:3" x14ac:dyDescent="0.25">
      <c r="A69" s="13" t="s">
        <v>851</v>
      </c>
      <c r="B69" s="12" t="s">
        <v>854</v>
      </c>
      <c r="C69" t="e">
        <f>IF(B69="Sim",(_xlfn.XLOOKUP('(misc) bot de cod mun'!A69,#REF!,#REF!)))</f>
        <v>#REF!</v>
      </c>
    </row>
    <row r="70" spans="1:3" x14ac:dyDescent="0.25">
      <c r="A70" s="11" t="s">
        <v>835</v>
      </c>
      <c r="B70" s="12" t="s">
        <v>854</v>
      </c>
      <c r="C70" t="e">
        <f>IF(B70="Sim",(_xlfn.XLOOKUP('(misc) bot de cod mun'!A70,#REF!,#REF!)))</f>
        <v>#REF!</v>
      </c>
    </row>
    <row r="71" spans="1:3" x14ac:dyDescent="0.25">
      <c r="A71" s="13" t="s">
        <v>850</v>
      </c>
      <c r="B71" s="14"/>
      <c r="C71" t="b">
        <f>IF(B71="Sim",(_xlfn.XLOOKUP('(misc) bot de cod mun'!A71,#REF!,#REF!)))</f>
        <v>0</v>
      </c>
    </row>
    <row r="72" spans="1:3" x14ac:dyDescent="0.25">
      <c r="A72" s="11" t="s">
        <v>843</v>
      </c>
      <c r="B72" s="12" t="s">
        <v>854</v>
      </c>
      <c r="C72" t="e">
        <f>IF(B72="Sim",(_xlfn.XLOOKUP('(misc) bot de cod mun'!A72,#REF!,#REF!)))</f>
        <v>#REF!</v>
      </c>
    </row>
    <row r="73" spans="1:3" x14ac:dyDescent="0.25">
      <c r="A73" s="13" t="s">
        <v>841</v>
      </c>
      <c r="B73" s="14"/>
      <c r="C73" t="b">
        <f>IF(B73="Sim",(_xlfn.XLOOKUP('(misc) bot de cod mun'!A73,#REF!,#REF!)))</f>
        <v>0</v>
      </c>
    </row>
    <row r="74" spans="1:3" x14ac:dyDescent="0.25">
      <c r="A74" s="11" t="s">
        <v>846</v>
      </c>
      <c r="B74" s="15"/>
      <c r="C74" t="b">
        <f>IF(B74="Sim",(_xlfn.XLOOKUP('(misc) bot de cod mun'!A74,#REF!,#REF!)))</f>
        <v>0</v>
      </c>
    </row>
    <row r="75" spans="1:3" x14ac:dyDescent="0.25">
      <c r="A75" s="13" t="s">
        <v>841</v>
      </c>
      <c r="B75" s="14"/>
      <c r="C75" t="b">
        <f>IF(B75="Sim",(_xlfn.XLOOKUP('(misc) bot de cod mun'!A75,#REF!,#REF!)))</f>
        <v>0</v>
      </c>
    </row>
    <row r="76" spans="1:3" x14ac:dyDescent="0.25">
      <c r="A76" s="11" t="s">
        <v>841</v>
      </c>
      <c r="B76" s="15"/>
      <c r="C76" t="b">
        <f>IF(B76="Sim",(_xlfn.XLOOKUP('(misc) bot de cod mun'!A76,#REF!,#REF!)))</f>
        <v>0</v>
      </c>
    </row>
    <row r="77" spans="1:3" x14ac:dyDescent="0.25">
      <c r="A77" s="13" t="s">
        <v>851</v>
      </c>
      <c r="B77" s="14"/>
      <c r="C77" t="b">
        <f>IF(B77="Sim",(_xlfn.XLOOKUP('(misc) bot de cod mun'!A77,#REF!,#REF!)))</f>
        <v>0</v>
      </c>
    </row>
    <row r="78" spans="1:3" x14ac:dyDescent="0.25">
      <c r="A78" s="11" t="s">
        <v>842</v>
      </c>
      <c r="B78" s="15"/>
      <c r="C78" t="b">
        <f>IF(B78="Sim",(_xlfn.XLOOKUP('(misc) bot de cod mun'!A78,#REF!,#REF!)))</f>
        <v>0</v>
      </c>
    </row>
    <row r="79" spans="1:3" x14ac:dyDescent="0.25">
      <c r="A79" s="13" t="s">
        <v>851</v>
      </c>
      <c r="B79" s="14"/>
      <c r="C79" t="b">
        <f>IF(B79="Sim",(_xlfn.XLOOKUP('(misc) bot de cod mun'!A79,#REF!,#REF!)))</f>
        <v>0</v>
      </c>
    </row>
    <row r="80" spans="1:3" x14ac:dyDescent="0.25">
      <c r="A80" s="11" t="s">
        <v>851</v>
      </c>
      <c r="B80" s="15"/>
      <c r="C80" t="b">
        <f>IF(B80="Sim",(_xlfn.XLOOKUP('(misc) bot de cod mun'!A80,#REF!,#REF!)))</f>
        <v>0</v>
      </c>
    </row>
    <row r="81" spans="1:3" x14ac:dyDescent="0.25">
      <c r="A81" s="13" t="s">
        <v>843</v>
      </c>
      <c r="B81" s="14"/>
      <c r="C81" t="b">
        <f>IF(B81="Sim",(_xlfn.XLOOKUP('(misc) bot de cod mun'!A81,#REF!,#REF!)))</f>
        <v>0</v>
      </c>
    </row>
    <row r="82" spans="1:3" x14ac:dyDescent="0.25">
      <c r="A82" s="11" t="s">
        <v>851</v>
      </c>
      <c r="B82" s="15"/>
      <c r="C82" t="b">
        <f>IF(B82="Sim",(_xlfn.XLOOKUP('(misc) bot de cod mun'!A82,#REF!,#REF!)))</f>
        <v>0</v>
      </c>
    </row>
    <row r="83" spans="1:3" x14ac:dyDescent="0.25">
      <c r="A83" s="13" t="s">
        <v>851</v>
      </c>
      <c r="B83" s="14"/>
      <c r="C83" t="b">
        <f>IF(B83="Sim",(_xlfn.XLOOKUP('(misc) bot de cod mun'!A83,#REF!,#REF!)))</f>
        <v>0</v>
      </c>
    </row>
    <row r="84" spans="1:3" x14ac:dyDescent="0.25">
      <c r="A84" s="11" t="s">
        <v>840</v>
      </c>
      <c r="B84" s="15"/>
      <c r="C84" t="b">
        <f>IF(B84="Sim",(_xlfn.XLOOKUP('(misc) bot de cod mun'!A84,#REF!,#REF!)))</f>
        <v>0</v>
      </c>
    </row>
    <row r="85" spans="1:3" x14ac:dyDescent="0.25">
      <c r="A85" s="13" t="s">
        <v>842</v>
      </c>
      <c r="B85" s="14"/>
      <c r="C85" t="b">
        <f>IF(B85="Sim",(_xlfn.XLOOKUP('(misc) bot de cod mun'!A85,#REF!,#REF!)))</f>
        <v>0</v>
      </c>
    </row>
    <row r="86" spans="1:3" x14ac:dyDescent="0.25">
      <c r="A86" s="11" t="s">
        <v>851</v>
      </c>
      <c r="B86" s="15"/>
      <c r="C86" t="b">
        <f>IF(B86="Sim",(_xlfn.XLOOKUP('(misc) bot de cod mun'!A86,#REF!,#REF!)))</f>
        <v>0</v>
      </c>
    </row>
    <row r="87" spans="1:3" x14ac:dyDescent="0.25">
      <c r="A87" s="13" t="s">
        <v>846</v>
      </c>
      <c r="B87" s="12" t="s">
        <v>854</v>
      </c>
      <c r="C87" t="e">
        <f>IF(B87="Sim",(_xlfn.XLOOKUP('(misc) bot de cod mun'!A87,#REF!,#REF!)))</f>
        <v>#REF!</v>
      </c>
    </row>
    <row r="88" spans="1:3" x14ac:dyDescent="0.25">
      <c r="A88" s="11" t="s">
        <v>845</v>
      </c>
      <c r="B88" s="15"/>
      <c r="C88" t="b">
        <f>IF(B88="Sim",(_xlfn.XLOOKUP('(misc) bot de cod mun'!A88,#REF!,#REF!)))</f>
        <v>0</v>
      </c>
    </row>
    <row r="89" spans="1:3" x14ac:dyDescent="0.25">
      <c r="A89" s="13" t="s">
        <v>847</v>
      </c>
      <c r="B89" s="14"/>
      <c r="C89" t="b">
        <f>IF(B89="Sim",(_xlfn.XLOOKUP('(misc) bot de cod mun'!A89,#REF!,#REF!)))</f>
        <v>0</v>
      </c>
    </row>
    <row r="90" spans="1:3" x14ac:dyDescent="0.25">
      <c r="A90" s="11" t="s">
        <v>847</v>
      </c>
      <c r="B90" s="15"/>
      <c r="C90" t="b">
        <f>IF(B90="Sim",(_xlfn.XLOOKUP('(misc) bot de cod mun'!A90,#REF!,#REF!)))</f>
        <v>0</v>
      </c>
    </row>
    <row r="91" spans="1:3" x14ac:dyDescent="0.25">
      <c r="A91" s="13" t="s">
        <v>840</v>
      </c>
      <c r="B91" s="14"/>
      <c r="C91" t="b">
        <f>IF(B91="Sim",(_xlfn.XLOOKUP('(misc) bot de cod mun'!A91,#REF!,#REF!)))</f>
        <v>0</v>
      </c>
    </row>
    <row r="92" spans="1:3" x14ac:dyDescent="0.25">
      <c r="A92" s="11" t="s">
        <v>850</v>
      </c>
      <c r="B92" s="15"/>
      <c r="C92" t="b">
        <f>IF(B92="Sim",(_xlfn.XLOOKUP('(misc) bot de cod mun'!A92,#REF!,#REF!)))</f>
        <v>0</v>
      </c>
    </row>
    <row r="93" spans="1:3" x14ac:dyDescent="0.25">
      <c r="A93" s="13" t="s">
        <v>843</v>
      </c>
      <c r="B93" s="12" t="s">
        <v>854</v>
      </c>
      <c r="C93" t="e">
        <f>IF(B93="Sim",(_xlfn.XLOOKUP('(misc) bot de cod mun'!A93,#REF!,#REF!)))</f>
        <v>#REF!</v>
      </c>
    </row>
    <row r="94" spans="1:3" x14ac:dyDescent="0.25">
      <c r="A94" s="11" t="s">
        <v>846</v>
      </c>
      <c r="B94" s="15"/>
      <c r="C94" t="b">
        <f>IF(B94="Sim",(_xlfn.XLOOKUP('(misc) bot de cod mun'!A94,#REF!,#REF!)))</f>
        <v>0</v>
      </c>
    </row>
    <row r="95" spans="1:3" x14ac:dyDescent="0.25">
      <c r="A95" s="13" t="s">
        <v>844</v>
      </c>
      <c r="B95" s="14"/>
      <c r="C95" t="b">
        <f>IF(B95="Sim",(_xlfn.XLOOKUP('(misc) bot de cod mun'!A95,#REF!,#REF!)))</f>
        <v>0</v>
      </c>
    </row>
    <row r="96" spans="1:3" x14ac:dyDescent="0.25">
      <c r="A96" s="11" t="s">
        <v>834</v>
      </c>
      <c r="B96" s="12" t="s">
        <v>854</v>
      </c>
      <c r="C96" t="e">
        <f>IF(B96="Sim",(_xlfn.XLOOKUP('(misc) bot de cod mun'!A96,#REF!,#REF!)))</f>
        <v>#REF!</v>
      </c>
    </row>
    <row r="97" spans="1:3" x14ac:dyDescent="0.25">
      <c r="A97" s="13" t="s">
        <v>849</v>
      </c>
      <c r="B97" s="14"/>
      <c r="C97" t="b">
        <f>IF(B97="Sim",(_xlfn.XLOOKUP('(misc) bot de cod mun'!A97,#REF!,#REF!)))</f>
        <v>0</v>
      </c>
    </row>
    <row r="98" spans="1:3" x14ac:dyDescent="0.25">
      <c r="A98" s="11" t="s">
        <v>846</v>
      </c>
      <c r="B98" s="15"/>
      <c r="C98" t="b">
        <f>IF(B98="Sim",(_xlfn.XLOOKUP('(misc) bot de cod mun'!A98,#REF!,#REF!)))</f>
        <v>0</v>
      </c>
    </row>
    <row r="99" spans="1:3" x14ac:dyDescent="0.25">
      <c r="A99" s="13" t="s">
        <v>843</v>
      </c>
      <c r="B99" s="14"/>
      <c r="C99" t="b">
        <f>IF(B99="Sim",(_xlfn.XLOOKUP('(misc) bot de cod mun'!A99,#REF!,#REF!)))</f>
        <v>0</v>
      </c>
    </row>
    <row r="100" spans="1:3" x14ac:dyDescent="0.25">
      <c r="A100" s="11" t="s">
        <v>851</v>
      </c>
      <c r="B100" s="15"/>
      <c r="C100" t="b">
        <f>IF(B100="Sim",(_xlfn.XLOOKUP('(misc) bot de cod mun'!A100,#REF!,#REF!)))</f>
        <v>0</v>
      </c>
    </row>
    <row r="101" spans="1:3" x14ac:dyDescent="0.25">
      <c r="A101" s="13" t="s">
        <v>842</v>
      </c>
      <c r="B101" s="14"/>
      <c r="C101" t="b">
        <f>IF(B101="Sim",(_xlfn.XLOOKUP('(misc) bot de cod mun'!A101,#REF!,#REF!)))</f>
        <v>0</v>
      </c>
    </row>
    <row r="102" spans="1:3" x14ac:dyDescent="0.25">
      <c r="A102" s="11" t="s">
        <v>850</v>
      </c>
      <c r="B102" s="15"/>
      <c r="C102" t="b">
        <f>IF(B102="Sim",(_xlfn.XLOOKUP('(misc) bot de cod mun'!A102,#REF!,#REF!)))</f>
        <v>0</v>
      </c>
    </row>
    <row r="103" spans="1:3" x14ac:dyDescent="0.25">
      <c r="A103" s="13" t="s">
        <v>850</v>
      </c>
      <c r="B103" s="14"/>
      <c r="C103" t="b">
        <f>IF(B103="Sim",(_xlfn.XLOOKUP('(misc) bot de cod mun'!A103,#REF!,#REF!)))</f>
        <v>0</v>
      </c>
    </row>
    <row r="104" spans="1:3" x14ac:dyDescent="0.25">
      <c r="A104" s="11" t="s">
        <v>838</v>
      </c>
      <c r="B104" s="15"/>
      <c r="C104" t="b">
        <f>IF(B104="Sim",(_xlfn.XLOOKUP('(misc) bot de cod mun'!A104,#REF!,#REF!)))</f>
        <v>0</v>
      </c>
    </row>
    <row r="105" spans="1:3" x14ac:dyDescent="0.25">
      <c r="A105" s="13" t="s">
        <v>849</v>
      </c>
      <c r="B105" s="14"/>
      <c r="C105" t="b">
        <f>IF(B105="Sim",(_xlfn.XLOOKUP('(misc) bot de cod mun'!A105,#REF!,#REF!)))</f>
        <v>0</v>
      </c>
    </row>
    <row r="106" spans="1:3" x14ac:dyDescent="0.25">
      <c r="A106" s="11" t="s">
        <v>850</v>
      </c>
      <c r="B106" s="15"/>
      <c r="C106" t="b">
        <f>IF(B106="Sim",(_xlfn.XLOOKUP('(misc) bot de cod mun'!A106,#REF!,#REF!)))</f>
        <v>0</v>
      </c>
    </row>
    <row r="107" spans="1:3" x14ac:dyDescent="0.25">
      <c r="A107" s="13" t="s">
        <v>850</v>
      </c>
      <c r="B107" s="14"/>
      <c r="C107" t="b">
        <f>IF(B107="Sim",(_xlfn.XLOOKUP('(misc) bot de cod mun'!A107,#REF!,#REF!)))</f>
        <v>0</v>
      </c>
    </row>
    <row r="108" spans="1:3" x14ac:dyDescent="0.25">
      <c r="A108" s="11" t="s">
        <v>843</v>
      </c>
      <c r="B108" s="15"/>
      <c r="C108" t="b">
        <f>IF(B108="Sim",(_xlfn.XLOOKUP('(misc) bot de cod mun'!A108,#REF!,#REF!)))</f>
        <v>0</v>
      </c>
    </row>
    <row r="109" spans="1:3" x14ac:dyDescent="0.25">
      <c r="A109" s="13" t="s">
        <v>850</v>
      </c>
      <c r="B109" s="14"/>
      <c r="C109" t="b">
        <f>IF(B109="Sim",(_xlfn.XLOOKUP('(misc) bot de cod mun'!A109,#REF!,#REF!)))</f>
        <v>0</v>
      </c>
    </row>
    <row r="110" spans="1:3" x14ac:dyDescent="0.25">
      <c r="A110" s="11" t="s">
        <v>841</v>
      </c>
      <c r="B110" s="15"/>
      <c r="C110" t="b">
        <f>IF(B110="Sim",(_xlfn.XLOOKUP('(misc) bot de cod mun'!A110,#REF!,#REF!)))</f>
        <v>0</v>
      </c>
    </row>
    <row r="111" spans="1:3" x14ac:dyDescent="0.25">
      <c r="A111" s="13" t="s">
        <v>842</v>
      </c>
      <c r="B111" s="14"/>
      <c r="C111" t="b">
        <f>IF(B111="Sim",(_xlfn.XLOOKUP('(misc) bot de cod mun'!A111,#REF!,#REF!)))</f>
        <v>0</v>
      </c>
    </row>
    <row r="112" spans="1:3" x14ac:dyDescent="0.25">
      <c r="A112" s="11" t="s">
        <v>836</v>
      </c>
      <c r="B112" s="15"/>
      <c r="C112" t="b">
        <f>IF(B112="Sim",(_xlfn.XLOOKUP('(misc) bot de cod mun'!A112,#REF!,#REF!)))</f>
        <v>0</v>
      </c>
    </row>
    <row r="113" spans="1:3" x14ac:dyDescent="0.25">
      <c r="A113" s="13" t="s">
        <v>842</v>
      </c>
      <c r="B113" s="14"/>
      <c r="C113" t="b">
        <f>IF(B113="Sim",(_xlfn.XLOOKUP('(misc) bot de cod mun'!A113,#REF!,#REF!)))</f>
        <v>0</v>
      </c>
    </row>
    <row r="114" spans="1:3" x14ac:dyDescent="0.25">
      <c r="A114" s="11" t="s">
        <v>838</v>
      </c>
      <c r="B114" s="15"/>
      <c r="C114" t="b">
        <f>IF(B114="Sim",(_xlfn.XLOOKUP('(misc) bot de cod mun'!A114,#REF!,#REF!)))</f>
        <v>0</v>
      </c>
    </row>
    <row r="115" spans="1:3" x14ac:dyDescent="0.25">
      <c r="A115" s="13" t="s">
        <v>842</v>
      </c>
      <c r="B115" s="14"/>
      <c r="C115" t="b">
        <f>IF(B115="Sim",(_xlfn.XLOOKUP('(misc) bot de cod mun'!A115,#REF!,#REF!)))</f>
        <v>0</v>
      </c>
    </row>
    <row r="116" spans="1:3" x14ac:dyDescent="0.25">
      <c r="A116" s="11" t="s">
        <v>836</v>
      </c>
      <c r="B116" s="15"/>
      <c r="C116" t="b">
        <f>IF(B116="Sim",(_xlfn.XLOOKUP('(misc) bot de cod mun'!A116,#REF!,#REF!)))</f>
        <v>0</v>
      </c>
    </row>
    <row r="117" spans="1:3" x14ac:dyDescent="0.25">
      <c r="A117" s="13" t="s">
        <v>848</v>
      </c>
      <c r="B117" s="14"/>
      <c r="C117" t="b">
        <f>IF(B117="Sim",(_xlfn.XLOOKUP('(misc) bot de cod mun'!A117,#REF!,#REF!)))</f>
        <v>0</v>
      </c>
    </row>
    <row r="118" spans="1:3" x14ac:dyDescent="0.25">
      <c r="A118" s="11" t="s">
        <v>852</v>
      </c>
      <c r="B118" s="12" t="s">
        <v>854</v>
      </c>
      <c r="C118" t="e">
        <f>IF(B118="Sim",(_xlfn.XLOOKUP('(misc) bot de cod mun'!A118,#REF!,#REF!)))</f>
        <v>#REF!</v>
      </c>
    </row>
    <row r="119" spans="1:3" x14ac:dyDescent="0.25">
      <c r="A119" s="13" t="s">
        <v>844</v>
      </c>
      <c r="B119" s="14"/>
      <c r="C119" t="b">
        <f>IF(B119="Sim",(_xlfn.XLOOKUP('(misc) bot de cod mun'!A119,#REF!,#REF!)))</f>
        <v>0</v>
      </c>
    </row>
    <row r="120" spans="1:3" x14ac:dyDescent="0.25">
      <c r="A120" s="11" t="s">
        <v>836</v>
      </c>
      <c r="B120" s="15"/>
      <c r="C120" t="b">
        <f>IF(B120="Sim",(_xlfn.XLOOKUP('(misc) bot de cod mun'!A120,#REF!,#REF!)))</f>
        <v>0</v>
      </c>
    </row>
    <row r="121" spans="1:3" x14ac:dyDescent="0.25">
      <c r="A121" s="13" t="s">
        <v>849</v>
      </c>
      <c r="B121" s="14"/>
      <c r="C121" t="b">
        <f>IF(B121="Sim",(_xlfn.XLOOKUP('(misc) bot de cod mun'!A121,#REF!,#REF!)))</f>
        <v>0</v>
      </c>
    </row>
    <row r="122" spans="1:3" x14ac:dyDescent="0.25">
      <c r="A122" s="11" t="s">
        <v>844</v>
      </c>
      <c r="B122" s="15"/>
      <c r="C122" t="b">
        <f>IF(B122="Sim",(_xlfn.XLOOKUP('(misc) bot de cod mun'!A122,#REF!,#REF!)))</f>
        <v>0</v>
      </c>
    </row>
    <row r="123" spans="1:3" x14ac:dyDescent="0.25">
      <c r="A123" s="13" t="s">
        <v>845</v>
      </c>
      <c r="B123" s="14"/>
      <c r="C123" t="b">
        <f>IF(B123="Sim",(_xlfn.XLOOKUP('(misc) bot de cod mun'!A123,#REF!,#REF!)))</f>
        <v>0</v>
      </c>
    </row>
    <row r="124" spans="1:3" x14ac:dyDescent="0.25">
      <c r="A124" s="11" t="s">
        <v>840</v>
      </c>
      <c r="B124" s="15"/>
      <c r="C124" t="b">
        <f>IF(B124="Sim",(_xlfn.XLOOKUP('(misc) bot de cod mun'!A124,#REF!,#REF!)))</f>
        <v>0</v>
      </c>
    </row>
    <row r="125" spans="1:3" x14ac:dyDescent="0.25">
      <c r="A125" s="13" t="s">
        <v>843</v>
      </c>
      <c r="B125" s="14"/>
      <c r="C125" t="b">
        <f>IF(B125="Sim",(_xlfn.XLOOKUP('(misc) bot de cod mun'!A125,#REF!,#REF!)))</f>
        <v>0</v>
      </c>
    </row>
    <row r="126" spans="1:3" x14ac:dyDescent="0.25">
      <c r="A126" s="11" t="s">
        <v>847</v>
      </c>
      <c r="B126" s="15"/>
      <c r="C126" t="b">
        <f>IF(B126="Sim",(_xlfn.XLOOKUP('(misc) bot de cod mun'!A126,#REF!,#REF!)))</f>
        <v>0</v>
      </c>
    </row>
    <row r="127" spans="1:3" x14ac:dyDescent="0.25">
      <c r="A127" s="13" t="s">
        <v>844</v>
      </c>
      <c r="B127" s="14"/>
      <c r="C127" t="b">
        <f>IF(B127="Sim",(_xlfn.XLOOKUP('(misc) bot de cod mun'!A127,#REF!,#REF!)))</f>
        <v>0</v>
      </c>
    </row>
    <row r="128" spans="1:3" x14ac:dyDescent="0.25">
      <c r="A128" s="11" t="s">
        <v>841</v>
      </c>
      <c r="B128" s="15"/>
      <c r="C128" t="b">
        <f>IF(B128="Sim",(_xlfn.XLOOKUP('(misc) bot de cod mun'!A128,#REF!,#REF!)))</f>
        <v>0</v>
      </c>
    </row>
    <row r="129" spans="1:3" x14ac:dyDescent="0.25">
      <c r="A129" s="13" t="s">
        <v>849</v>
      </c>
      <c r="B129" s="14"/>
      <c r="C129" t="b">
        <f>IF(B129="Sim",(_xlfn.XLOOKUP('(misc) bot de cod mun'!A129,#REF!,#REF!)))</f>
        <v>0</v>
      </c>
    </row>
    <row r="130" spans="1:3" x14ac:dyDescent="0.25">
      <c r="A130" s="11" t="s">
        <v>842</v>
      </c>
      <c r="B130" s="15"/>
      <c r="C130" t="b">
        <f>IF(B130="Sim",(_xlfn.XLOOKUP('(misc) bot de cod mun'!A130,#REF!,#REF!)))</f>
        <v>0</v>
      </c>
    </row>
    <row r="131" spans="1:3" x14ac:dyDescent="0.25">
      <c r="A131" s="13" t="s">
        <v>838</v>
      </c>
      <c r="B131" s="14"/>
      <c r="C131" t="b">
        <f>IF(B131="Sim",(_xlfn.XLOOKUP('(misc) bot de cod mun'!A131,#REF!,#REF!)))</f>
        <v>0</v>
      </c>
    </row>
    <row r="132" spans="1:3" x14ac:dyDescent="0.25">
      <c r="A132" s="11" t="s">
        <v>848</v>
      </c>
      <c r="B132" s="15"/>
      <c r="C132" t="b">
        <f>IF(B132="Sim",(_xlfn.XLOOKUP('(misc) bot de cod mun'!A132,#REF!,#REF!)))</f>
        <v>0</v>
      </c>
    </row>
    <row r="133" spans="1:3" x14ac:dyDescent="0.25">
      <c r="A133" s="13" t="s">
        <v>837</v>
      </c>
      <c r="B133" s="14"/>
      <c r="C133" t="b">
        <f>IF(B133="Sim",(_xlfn.XLOOKUP('(misc) bot de cod mun'!A133,#REF!,#REF!)))</f>
        <v>0</v>
      </c>
    </row>
    <row r="134" spans="1:3" x14ac:dyDescent="0.25">
      <c r="A134" s="11" t="s">
        <v>848</v>
      </c>
      <c r="B134" s="15"/>
      <c r="C134" t="b">
        <f>IF(B134="Sim",(_xlfn.XLOOKUP('(misc) bot de cod mun'!A134,#REF!,#REF!)))</f>
        <v>0</v>
      </c>
    </row>
    <row r="135" spans="1:3" x14ac:dyDescent="0.25">
      <c r="A135" s="13" t="s">
        <v>849</v>
      </c>
      <c r="B135" s="14"/>
      <c r="C135" t="b">
        <f>IF(B135="Sim",(_xlfn.XLOOKUP('(misc) bot de cod mun'!A135,#REF!,#REF!)))</f>
        <v>0</v>
      </c>
    </row>
    <row r="136" spans="1:3" x14ac:dyDescent="0.25">
      <c r="A136" s="11" t="s">
        <v>852</v>
      </c>
      <c r="B136" s="12" t="s">
        <v>854</v>
      </c>
      <c r="C136" t="e">
        <f>IF(B136="Sim",(_xlfn.XLOOKUP('(misc) bot de cod mun'!A136,#REF!,#REF!)))</f>
        <v>#REF!</v>
      </c>
    </row>
    <row r="137" spans="1:3" x14ac:dyDescent="0.25">
      <c r="A137" s="13" t="s">
        <v>849</v>
      </c>
      <c r="B137" s="14"/>
      <c r="C137" t="b">
        <f>IF(B137="Sim",(_xlfn.XLOOKUP('(misc) bot de cod mun'!A137,#REF!,#REF!)))</f>
        <v>0</v>
      </c>
    </row>
    <row r="138" spans="1:3" x14ac:dyDescent="0.25">
      <c r="A138" s="11" t="s">
        <v>849</v>
      </c>
      <c r="B138" s="12" t="s">
        <v>854</v>
      </c>
      <c r="C138" t="e">
        <f>IF(B138="Sim",(_xlfn.XLOOKUP('(misc) bot de cod mun'!A138,#REF!,#REF!)))</f>
        <v>#REF!</v>
      </c>
    </row>
    <row r="139" spans="1:3" x14ac:dyDescent="0.25">
      <c r="A139" s="13" t="s">
        <v>836</v>
      </c>
      <c r="B139" s="14"/>
      <c r="C139" t="b">
        <f>IF(B139="Sim",(_xlfn.XLOOKUP('(misc) bot de cod mun'!A139,#REF!,#REF!)))</f>
        <v>0</v>
      </c>
    </row>
    <row r="140" spans="1:3" x14ac:dyDescent="0.25">
      <c r="A140" s="11" t="s">
        <v>838</v>
      </c>
      <c r="B140" s="15"/>
      <c r="C140" t="b">
        <f>IF(B140="Sim",(_xlfn.XLOOKUP('(misc) bot de cod mun'!A140,#REF!,#REF!)))</f>
        <v>0</v>
      </c>
    </row>
    <row r="141" spans="1:3" x14ac:dyDescent="0.25">
      <c r="A141" s="13" t="s">
        <v>850</v>
      </c>
      <c r="B141" s="14"/>
      <c r="C141" t="b">
        <f>IF(B141="Sim",(_xlfn.XLOOKUP('(misc) bot de cod mun'!A141,#REF!,#REF!)))</f>
        <v>0</v>
      </c>
    </row>
    <row r="142" spans="1:3" x14ac:dyDescent="0.25">
      <c r="A142" s="11" t="s">
        <v>845</v>
      </c>
      <c r="B142" s="15"/>
      <c r="C142" t="b">
        <f>IF(B142="Sim",(_xlfn.XLOOKUP('(misc) bot de cod mun'!A142,#REF!,#REF!)))</f>
        <v>0</v>
      </c>
    </row>
    <row r="143" spans="1:3" x14ac:dyDescent="0.25">
      <c r="A143" s="13" t="s">
        <v>848</v>
      </c>
      <c r="B143" s="14"/>
      <c r="C143" t="b">
        <f>IF(B143="Sim",(_xlfn.XLOOKUP('(misc) bot de cod mun'!A143,#REF!,#REF!)))</f>
        <v>0</v>
      </c>
    </row>
    <row r="144" spans="1:3" x14ac:dyDescent="0.25">
      <c r="A144" s="11" t="s">
        <v>845</v>
      </c>
      <c r="B144" s="15"/>
      <c r="C144" t="b">
        <f>IF(B144="Sim",(_xlfn.XLOOKUP('(misc) bot de cod mun'!A144,#REF!,#REF!)))</f>
        <v>0</v>
      </c>
    </row>
    <row r="145" spans="1:3" x14ac:dyDescent="0.25">
      <c r="A145" s="13" t="s">
        <v>839</v>
      </c>
      <c r="B145" s="12" t="s">
        <v>854</v>
      </c>
      <c r="C145" t="e">
        <f>IF(B145="Sim",(_xlfn.XLOOKUP('(misc) bot de cod mun'!A145,#REF!,#REF!)))</f>
        <v>#REF!</v>
      </c>
    </row>
    <row r="146" spans="1:3" x14ac:dyDescent="0.25">
      <c r="A146" s="11" t="s">
        <v>840</v>
      </c>
      <c r="B146" s="15"/>
      <c r="C146" t="b">
        <f>IF(B146="Sim",(_xlfn.XLOOKUP('(misc) bot de cod mun'!A146,#REF!,#REF!)))</f>
        <v>0</v>
      </c>
    </row>
    <row r="147" spans="1:3" x14ac:dyDescent="0.25">
      <c r="A147" s="13" t="s">
        <v>845</v>
      </c>
      <c r="B147" s="12" t="s">
        <v>854</v>
      </c>
      <c r="C147" t="e">
        <f>IF(B147="Sim",(_xlfn.XLOOKUP('(misc) bot de cod mun'!A147,#REF!,#REF!)))</f>
        <v>#REF!</v>
      </c>
    </row>
    <row r="148" spans="1:3" x14ac:dyDescent="0.25">
      <c r="A148" s="11" t="s">
        <v>840</v>
      </c>
      <c r="B148" s="15"/>
      <c r="C148" t="b">
        <f>IF(B148="Sim",(_xlfn.XLOOKUP('(misc) bot de cod mun'!A148,#REF!,#REF!)))</f>
        <v>0</v>
      </c>
    </row>
    <row r="149" spans="1:3" x14ac:dyDescent="0.25">
      <c r="A149" s="13" t="s">
        <v>844</v>
      </c>
      <c r="B149" s="14"/>
      <c r="C149" t="b">
        <f>IF(B149="Sim",(_xlfn.XLOOKUP('(misc) bot de cod mun'!A149,#REF!,#REF!)))</f>
        <v>0</v>
      </c>
    </row>
    <row r="150" spans="1:3" x14ac:dyDescent="0.25">
      <c r="A150" s="11" t="s">
        <v>850</v>
      </c>
      <c r="B150" s="15"/>
      <c r="C150" t="b">
        <f>IF(B150="Sim",(_xlfn.XLOOKUP('(misc) bot de cod mun'!A150,#REF!,#REF!)))</f>
        <v>0</v>
      </c>
    </row>
    <row r="151" spans="1:3" x14ac:dyDescent="0.25">
      <c r="A151" s="13" t="s">
        <v>843</v>
      </c>
      <c r="B151" s="12" t="s">
        <v>854</v>
      </c>
      <c r="C151" t="e">
        <f>IF(B151="Sim",(_xlfn.XLOOKUP('(misc) bot de cod mun'!A151,#REF!,#REF!)))</f>
        <v>#REF!</v>
      </c>
    </row>
    <row r="152" spans="1:3" x14ac:dyDescent="0.25">
      <c r="A152" s="11" t="s">
        <v>845</v>
      </c>
      <c r="B152" s="15"/>
      <c r="C152" t="b">
        <f>IF(B152="Sim",(_xlfn.XLOOKUP('(misc) bot de cod mun'!A152,#REF!,#REF!)))</f>
        <v>0</v>
      </c>
    </row>
    <row r="153" spans="1:3" x14ac:dyDescent="0.25">
      <c r="A153" s="13" t="s">
        <v>851</v>
      </c>
      <c r="B153" s="12" t="s">
        <v>854</v>
      </c>
      <c r="C153" t="e">
        <f>IF(B153="Sim",(_xlfn.XLOOKUP('(misc) bot de cod mun'!A153,#REF!,#REF!)))</f>
        <v>#REF!</v>
      </c>
    </row>
    <row r="154" spans="1:3" x14ac:dyDescent="0.25">
      <c r="A154" s="11" t="s">
        <v>847</v>
      </c>
      <c r="B154" s="15"/>
      <c r="C154" t="b">
        <f>IF(B154="Sim",(_xlfn.XLOOKUP('(misc) bot de cod mun'!A154,#REF!,#REF!)))</f>
        <v>0</v>
      </c>
    </row>
    <row r="155" spans="1:3" x14ac:dyDescent="0.25">
      <c r="A155" s="13" t="s">
        <v>842</v>
      </c>
      <c r="B155" s="14"/>
      <c r="C155" t="b">
        <f>IF(B155="Sim",(_xlfn.XLOOKUP('(misc) bot de cod mun'!A155,#REF!,#REF!)))</f>
        <v>0</v>
      </c>
    </row>
    <row r="156" spans="1:3" x14ac:dyDescent="0.25">
      <c r="A156" s="11" t="s">
        <v>845</v>
      </c>
      <c r="B156" s="15"/>
      <c r="C156" t="b">
        <f>IF(B156="Sim",(_xlfn.XLOOKUP('(misc) bot de cod mun'!A156,#REF!,#REF!)))</f>
        <v>0</v>
      </c>
    </row>
    <row r="157" spans="1:3" x14ac:dyDescent="0.25">
      <c r="A157" s="13" t="s">
        <v>844</v>
      </c>
      <c r="B157" s="14"/>
      <c r="C157" t="b">
        <f>IF(B157="Sim",(_xlfn.XLOOKUP('(misc) bot de cod mun'!A157,#REF!,#REF!)))</f>
        <v>0</v>
      </c>
    </row>
    <row r="158" spans="1:3" x14ac:dyDescent="0.25">
      <c r="A158" s="11" t="s">
        <v>847</v>
      </c>
      <c r="B158" s="15"/>
      <c r="C158" t="b">
        <f>IF(B158="Sim",(_xlfn.XLOOKUP('(misc) bot de cod mun'!A158,#REF!,#REF!)))</f>
        <v>0</v>
      </c>
    </row>
    <row r="159" spans="1:3" x14ac:dyDescent="0.25">
      <c r="A159" s="13" t="s">
        <v>837</v>
      </c>
      <c r="B159" s="14"/>
      <c r="C159" t="b">
        <f>IF(B159="Sim",(_xlfn.XLOOKUP('(misc) bot de cod mun'!A159,#REF!,#REF!)))</f>
        <v>0</v>
      </c>
    </row>
    <row r="160" spans="1:3" x14ac:dyDescent="0.25">
      <c r="A160" s="11" t="s">
        <v>841</v>
      </c>
      <c r="B160" s="15"/>
      <c r="C160" t="b">
        <f>IF(B160="Sim",(_xlfn.XLOOKUP('(misc) bot de cod mun'!A160,#REF!,#REF!)))</f>
        <v>0</v>
      </c>
    </row>
    <row r="161" spans="1:3" x14ac:dyDescent="0.25">
      <c r="A161" s="13" t="s">
        <v>843</v>
      </c>
      <c r="B161" s="14"/>
      <c r="C161" t="b">
        <f>IF(B161="Sim",(_xlfn.XLOOKUP('(misc) bot de cod mun'!A161,#REF!,#REF!)))</f>
        <v>0</v>
      </c>
    </row>
    <row r="162" spans="1:3" x14ac:dyDescent="0.25">
      <c r="A162" s="11" t="s">
        <v>847</v>
      </c>
      <c r="B162" s="15"/>
      <c r="C162" t="b">
        <f>IF(B162="Sim",(_xlfn.XLOOKUP('(misc) bot de cod mun'!A162,#REF!,#REF!)))</f>
        <v>0</v>
      </c>
    </row>
    <row r="163" spans="1:3" x14ac:dyDescent="0.25">
      <c r="A163" s="13" t="s">
        <v>841</v>
      </c>
      <c r="B163" s="14"/>
      <c r="C163" t="b">
        <f>IF(B163="Sim",(_xlfn.XLOOKUP('(misc) bot de cod mun'!A163,#REF!,#REF!)))</f>
        <v>0</v>
      </c>
    </row>
    <row r="164" spans="1:3" x14ac:dyDescent="0.25">
      <c r="A164" s="11" t="s">
        <v>851</v>
      </c>
      <c r="B164" s="15"/>
      <c r="C164" t="b">
        <f>IF(B164="Sim",(_xlfn.XLOOKUP('(misc) bot de cod mun'!A164,#REF!,#REF!)))</f>
        <v>0</v>
      </c>
    </row>
    <row r="165" spans="1:3" x14ac:dyDescent="0.25">
      <c r="A165" s="13" t="s">
        <v>845</v>
      </c>
      <c r="B165" s="14"/>
      <c r="C165" t="b">
        <f>IF(B165="Sim",(_xlfn.XLOOKUP('(misc) bot de cod mun'!A165,#REF!,#REF!)))</f>
        <v>0</v>
      </c>
    </row>
    <row r="166" spans="1:3" x14ac:dyDescent="0.25">
      <c r="A166" s="11" t="s">
        <v>840</v>
      </c>
      <c r="B166" s="15"/>
      <c r="C166" t="b">
        <f>IF(B166="Sim",(_xlfn.XLOOKUP('(misc) bot de cod mun'!A166,#REF!,#REF!)))</f>
        <v>0</v>
      </c>
    </row>
    <row r="167" spans="1:3" x14ac:dyDescent="0.25">
      <c r="A167" s="13" t="s">
        <v>840</v>
      </c>
      <c r="B167" s="14"/>
      <c r="C167" t="b">
        <f>IF(B167="Sim",(_xlfn.XLOOKUP('(misc) bot de cod mun'!A167,#REF!,#REF!)))</f>
        <v>0</v>
      </c>
    </row>
    <row r="168" spans="1:3" x14ac:dyDescent="0.25">
      <c r="A168" s="11" t="s">
        <v>842</v>
      </c>
      <c r="B168" s="15"/>
      <c r="C168" t="b">
        <f>IF(B168="Sim",(_xlfn.XLOOKUP('(misc) bot de cod mun'!A168,#REF!,#REF!)))</f>
        <v>0</v>
      </c>
    </row>
    <row r="169" spans="1:3" x14ac:dyDescent="0.25">
      <c r="A169" s="13" t="s">
        <v>836</v>
      </c>
      <c r="B169" s="14"/>
      <c r="C169" t="b">
        <f>IF(B169="Sim",(_xlfn.XLOOKUP('(misc) bot de cod mun'!A169,#REF!,#REF!)))</f>
        <v>0</v>
      </c>
    </row>
    <row r="170" spans="1:3" x14ac:dyDescent="0.25">
      <c r="A170" s="11" t="s">
        <v>847</v>
      </c>
      <c r="B170" s="12" t="s">
        <v>854</v>
      </c>
      <c r="C170" t="e">
        <f>IF(B170="Sim",(_xlfn.XLOOKUP('(misc) bot de cod mun'!A170,#REF!,#REF!)))</f>
        <v>#REF!</v>
      </c>
    </row>
    <row r="171" spans="1:3" x14ac:dyDescent="0.25">
      <c r="A171" s="13" t="s">
        <v>836</v>
      </c>
      <c r="B171" s="14"/>
      <c r="C171" t="b">
        <f>IF(B171="Sim",(_xlfn.XLOOKUP('(misc) bot de cod mun'!A171,#REF!,#REF!)))</f>
        <v>0</v>
      </c>
    </row>
    <row r="172" spans="1:3" x14ac:dyDescent="0.25">
      <c r="A172" s="11" t="s">
        <v>847</v>
      </c>
      <c r="B172" s="15"/>
      <c r="C172" t="b">
        <f>IF(B172="Sim",(_xlfn.XLOOKUP('(misc) bot de cod mun'!A172,#REF!,#REF!)))</f>
        <v>0</v>
      </c>
    </row>
    <row r="173" spans="1:3" x14ac:dyDescent="0.25">
      <c r="A173" s="13" t="s">
        <v>851</v>
      </c>
      <c r="B173" s="14"/>
      <c r="C173" t="b">
        <f>IF(B173="Sim",(_xlfn.XLOOKUP('(misc) bot de cod mun'!A173,#REF!,#REF!)))</f>
        <v>0</v>
      </c>
    </row>
    <row r="174" spans="1:3" x14ac:dyDescent="0.25">
      <c r="A174" s="11" t="s">
        <v>844</v>
      </c>
      <c r="B174" s="15"/>
      <c r="C174" t="b">
        <f>IF(B174="Sim",(_xlfn.XLOOKUP('(misc) bot de cod mun'!A174,#REF!,#REF!)))</f>
        <v>0</v>
      </c>
    </row>
    <row r="175" spans="1:3" x14ac:dyDescent="0.25">
      <c r="A175" s="13" t="s">
        <v>848</v>
      </c>
      <c r="B175" s="14"/>
      <c r="C175" t="b">
        <f>IF(B175="Sim",(_xlfn.XLOOKUP('(misc) bot de cod mun'!A175,#REF!,#REF!)))</f>
        <v>0</v>
      </c>
    </row>
    <row r="176" spans="1:3" x14ac:dyDescent="0.25">
      <c r="A176" s="11" t="s">
        <v>836</v>
      </c>
      <c r="B176" s="15"/>
      <c r="C176" t="b">
        <f>IF(B176="Sim",(_xlfn.XLOOKUP('(misc) bot de cod mun'!A176,#REF!,#REF!)))</f>
        <v>0</v>
      </c>
    </row>
    <row r="177" spans="1:3" x14ac:dyDescent="0.25">
      <c r="A177" s="13" t="s">
        <v>849</v>
      </c>
      <c r="B177" s="14"/>
      <c r="C177" t="b">
        <f>IF(B177="Sim",(_xlfn.XLOOKUP('(misc) bot de cod mun'!A177,#REF!,#REF!)))</f>
        <v>0</v>
      </c>
    </row>
    <row r="178" spans="1:3" x14ac:dyDescent="0.25">
      <c r="A178" s="11" t="s">
        <v>851</v>
      </c>
      <c r="B178" s="12" t="s">
        <v>854</v>
      </c>
      <c r="C178" t="e">
        <f>IF(B178="Sim",(_xlfn.XLOOKUP('(misc) bot de cod mun'!A178,#REF!,#REF!)))</f>
        <v>#REF!</v>
      </c>
    </row>
    <row r="179" spans="1:3" x14ac:dyDescent="0.25">
      <c r="A179" s="13" t="s">
        <v>841</v>
      </c>
      <c r="B179" s="14"/>
      <c r="C179" t="b">
        <f>IF(B179="Sim",(_xlfn.XLOOKUP('(misc) bot de cod mun'!A179,#REF!,#REF!)))</f>
        <v>0</v>
      </c>
    </row>
    <row r="180" spans="1:3" x14ac:dyDescent="0.25">
      <c r="A180" s="11" t="s">
        <v>834</v>
      </c>
      <c r="B180" s="15"/>
      <c r="C180" t="b">
        <f>IF(B180="Sim",(_xlfn.XLOOKUP('(misc) bot de cod mun'!A180,#REF!,#REF!)))</f>
        <v>0</v>
      </c>
    </row>
    <row r="181" spans="1:3" x14ac:dyDescent="0.25">
      <c r="A181" s="13" t="s">
        <v>852</v>
      </c>
      <c r="B181" s="12" t="s">
        <v>854</v>
      </c>
      <c r="C181" t="e">
        <f>IF(B181="Sim",(_xlfn.XLOOKUP('(misc) bot de cod mun'!A181,#REF!,#REF!)))</f>
        <v>#REF!</v>
      </c>
    </row>
    <row r="182" spans="1:3" x14ac:dyDescent="0.25">
      <c r="A182" s="11" t="s">
        <v>848</v>
      </c>
      <c r="B182" s="15"/>
      <c r="C182" t="b">
        <f>IF(B182="Sim",(_xlfn.XLOOKUP('(misc) bot de cod mun'!A182,#REF!,#REF!)))</f>
        <v>0</v>
      </c>
    </row>
    <row r="183" spans="1:3" x14ac:dyDescent="0.25">
      <c r="A183" s="13" t="s">
        <v>840</v>
      </c>
      <c r="B183" s="14"/>
      <c r="C183" t="b">
        <f>IF(B183="Sim",(_xlfn.XLOOKUP('(misc) bot de cod mun'!A183,#REF!,#REF!)))</f>
        <v>0</v>
      </c>
    </row>
    <row r="184" spans="1:3" x14ac:dyDescent="0.25">
      <c r="A184" s="11" t="s">
        <v>843</v>
      </c>
      <c r="B184" s="15"/>
      <c r="C184" t="b">
        <f>IF(B184="Sim",(_xlfn.XLOOKUP('(misc) bot de cod mun'!A184,#REF!,#REF!)))</f>
        <v>0</v>
      </c>
    </row>
    <row r="185" spans="1:3" x14ac:dyDescent="0.25">
      <c r="A185" s="13" t="s">
        <v>835</v>
      </c>
      <c r="B185" s="14"/>
      <c r="C185" t="b">
        <f>IF(B185="Sim",(_xlfn.XLOOKUP('(misc) bot de cod mun'!A185,#REF!,#REF!)))</f>
        <v>0</v>
      </c>
    </row>
    <row r="186" spans="1:3" x14ac:dyDescent="0.25">
      <c r="A186" s="11" t="s">
        <v>849</v>
      </c>
      <c r="B186" s="12" t="s">
        <v>854</v>
      </c>
      <c r="C186" t="e">
        <f>IF(B186="Sim",(_xlfn.XLOOKUP('(misc) bot de cod mun'!A186,#REF!,#REF!)))</f>
        <v>#REF!</v>
      </c>
    </row>
    <row r="187" spans="1:3" x14ac:dyDescent="0.25">
      <c r="A187" s="13" t="s">
        <v>837</v>
      </c>
      <c r="B187" s="12" t="s">
        <v>854</v>
      </c>
      <c r="C187" t="e">
        <f>IF(B187="Sim",(_xlfn.XLOOKUP('(misc) bot de cod mun'!A187,#REF!,#REF!)))</f>
        <v>#REF!</v>
      </c>
    </row>
    <row r="188" spans="1:3" x14ac:dyDescent="0.25">
      <c r="A188" s="11" t="s">
        <v>851</v>
      </c>
      <c r="B188" s="15"/>
      <c r="C188" t="b">
        <f>IF(B188="Sim",(_xlfn.XLOOKUP('(misc) bot de cod mun'!A188,#REF!,#REF!)))</f>
        <v>0</v>
      </c>
    </row>
    <row r="189" spans="1:3" x14ac:dyDescent="0.25">
      <c r="A189" s="13" t="s">
        <v>837</v>
      </c>
      <c r="B189" s="12" t="s">
        <v>854</v>
      </c>
      <c r="C189" t="e">
        <f>IF(B189="Sim",(_xlfn.XLOOKUP('(misc) bot de cod mun'!A189,#REF!,#REF!)))</f>
        <v>#REF!</v>
      </c>
    </row>
    <row r="190" spans="1:3" x14ac:dyDescent="0.25">
      <c r="A190" s="11" t="s">
        <v>838</v>
      </c>
      <c r="B190" s="15"/>
      <c r="C190" t="b">
        <f>IF(B190="Sim",(_xlfn.XLOOKUP('(misc) bot de cod mun'!A190,#REF!,#REF!)))</f>
        <v>0</v>
      </c>
    </row>
    <row r="191" spans="1:3" x14ac:dyDescent="0.25">
      <c r="A191" s="13" t="s">
        <v>839</v>
      </c>
      <c r="B191" s="14"/>
      <c r="C191" t="b">
        <f>IF(B191="Sim",(_xlfn.XLOOKUP('(misc) bot de cod mun'!A191,#REF!,#REF!)))</f>
        <v>0</v>
      </c>
    </row>
    <row r="192" spans="1:3" x14ac:dyDescent="0.25">
      <c r="A192" s="11" t="s">
        <v>834</v>
      </c>
      <c r="B192" s="12" t="s">
        <v>854</v>
      </c>
      <c r="C192" t="e">
        <f>IF(B192="Sim",(_xlfn.XLOOKUP('(misc) bot de cod mun'!A192,#REF!,#REF!)))</f>
        <v>#REF!</v>
      </c>
    </row>
    <row r="193" spans="1:3" x14ac:dyDescent="0.25">
      <c r="A193" s="13" t="s">
        <v>841</v>
      </c>
      <c r="B193" s="14"/>
      <c r="C193" t="b">
        <f>IF(B193="Sim",(_xlfn.XLOOKUP('(misc) bot de cod mun'!A193,#REF!,#REF!)))</f>
        <v>0</v>
      </c>
    </row>
    <row r="194" spans="1:3" x14ac:dyDescent="0.25">
      <c r="A194" s="11" t="s">
        <v>841</v>
      </c>
      <c r="B194" s="12" t="s">
        <v>854</v>
      </c>
      <c r="C194" t="e">
        <f>IF(B194="Sim",(_xlfn.XLOOKUP('(misc) bot de cod mun'!A194,#REF!,#REF!)))</f>
        <v>#REF!</v>
      </c>
    </row>
    <row r="195" spans="1:3" x14ac:dyDescent="0.25">
      <c r="A195" s="13" t="s">
        <v>850</v>
      </c>
      <c r="B195" s="14"/>
      <c r="C195" t="b">
        <f>IF(B195="Sim",(_xlfn.XLOOKUP('(misc) bot de cod mun'!A195,#REF!,#REF!)))</f>
        <v>0</v>
      </c>
    </row>
    <row r="196" spans="1:3" x14ac:dyDescent="0.25">
      <c r="A196" s="11" t="s">
        <v>850</v>
      </c>
      <c r="B196" s="15"/>
      <c r="C196" t="b">
        <f>IF(B196="Sim",(_xlfn.XLOOKUP('(misc) bot de cod mun'!A196,#REF!,#REF!)))</f>
        <v>0</v>
      </c>
    </row>
    <row r="197" spans="1:3" x14ac:dyDescent="0.25">
      <c r="A197" s="13" t="s">
        <v>848</v>
      </c>
      <c r="B197" s="14"/>
      <c r="C197" t="b">
        <f>IF(B197="Sim",(_xlfn.XLOOKUP('(misc) bot de cod mun'!A197,#REF!,#REF!)))</f>
        <v>0</v>
      </c>
    </row>
    <row r="198" spans="1:3" x14ac:dyDescent="0.25">
      <c r="A198" s="11" t="s">
        <v>840</v>
      </c>
      <c r="B198" s="15"/>
      <c r="C198" t="b">
        <f>IF(B198="Sim",(_xlfn.XLOOKUP('(misc) bot de cod mun'!A198,#REF!,#REF!)))</f>
        <v>0</v>
      </c>
    </row>
    <row r="199" spans="1:3" x14ac:dyDescent="0.25">
      <c r="A199" s="13" t="s">
        <v>851</v>
      </c>
      <c r="B199" s="14"/>
      <c r="C199" t="b">
        <f>IF(B199="Sim",(_xlfn.XLOOKUP('(misc) bot de cod mun'!A199,#REF!,#REF!)))</f>
        <v>0</v>
      </c>
    </row>
    <row r="200" spans="1:3" x14ac:dyDescent="0.25">
      <c r="A200" s="11" t="s">
        <v>843</v>
      </c>
      <c r="B200" s="15"/>
      <c r="C200" t="b">
        <f>IF(B200="Sim",(_xlfn.XLOOKUP('(misc) bot de cod mun'!A200,#REF!,#REF!)))</f>
        <v>0</v>
      </c>
    </row>
    <row r="201" spans="1:3" x14ac:dyDescent="0.25">
      <c r="A201" s="13" t="s">
        <v>845</v>
      </c>
      <c r="B201" s="14"/>
      <c r="C201" t="b">
        <f>IF(B201="Sim",(_xlfn.XLOOKUP('(misc) bot de cod mun'!A201,#REF!,#REF!)))</f>
        <v>0</v>
      </c>
    </row>
    <row r="202" spans="1:3" x14ac:dyDescent="0.25">
      <c r="A202" s="11" t="s">
        <v>843</v>
      </c>
      <c r="B202" s="12" t="s">
        <v>854</v>
      </c>
      <c r="C202" t="e">
        <f>IF(B202="Sim",(_xlfn.XLOOKUP('(misc) bot de cod mun'!A202,#REF!,#REF!)))</f>
        <v>#REF!</v>
      </c>
    </row>
    <row r="203" spans="1:3" x14ac:dyDescent="0.25">
      <c r="A203" s="13" t="s">
        <v>849</v>
      </c>
      <c r="B203" s="14"/>
      <c r="C203" t="b">
        <f>IF(B203="Sim",(_xlfn.XLOOKUP('(misc) bot de cod mun'!A203,#REF!,#REF!)))</f>
        <v>0</v>
      </c>
    </row>
    <row r="204" spans="1:3" x14ac:dyDescent="0.25">
      <c r="A204" s="11" t="s">
        <v>849</v>
      </c>
      <c r="B204" s="15"/>
      <c r="C204" t="b">
        <f>IF(B204="Sim",(_xlfn.XLOOKUP('(misc) bot de cod mun'!A204,#REF!,#REF!)))</f>
        <v>0</v>
      </c>
    </row>
    <row r="205" spans="1:3" x14ac:dyDescent="0.25">
      <c r="A205" s="13" t="s">
        <v>841</v>
      </c>
      <c r="B205" s="14"/>
      <c r="C205" t="b">
        <f>IF(B205="Sim",(_xlfn.XLOOKUP('(misc) bot de cod mun'!A205,#REF!,#REF!)))</f>
        <v>0</v>
      </c>
    </row>
    <row r="206" spans="1:3" x14ac:dyDescent="0.25">
      <c r="A206" s="11" t="s">
        <v>839</v>
      </c>
      <c r="B206" s="12" t="s">
        <v>854</v>
      </c>
      <c r="C206" t="e">
        <f>IF(B206="Sim",(_xlfn.XLOOKUP('(misc) bot de cod mun'!A206,#REF!,#REF!)))</f>
        <v>#REF!</v>
      </c>
    </row>
    <row r="207" spans="1:3" x14ac:dyDescent="0.25">
      <c r="A207" s="13" t="s">
        <v>852</v>
      </c>
      <c r="B207" s="12" t="s">
        <v>854</v>
      </c>
      <c r="C207" t="e">
        <f>IF(B207="Sim",(_xlfn.XLOOKUP('(misc) bot de cod mun'!A207,#REF!,#REF!)))</f>
        <v>#REF!</v>
      </c>
    </row>
    <row r="208" spans="1:3" x14ac:dyDescent="0.25">
      <c r="A208" s="11" t="s">
        <v>850</v>
      </c>
      <c r="B208" s="15"/>
      <c r="C208" t="b">
        <f>IF(B208="Sim",(_xlfn.XLOOKUP('(misc) bot de cod mun'!A208,#REF!,#REF!)))</f>
        <v>0</v>
      </c>
    </row>
    <row r="209" spans="1:3" x14ac:dyDescent="0.25">
      <c r="A209" s="13" t="s">
        <v>840</v>
      </c>
      <c r="B209" s="14"/>
      <c r="C209" t="b">
        <f>IF(B209="Sim",(_xlfn.XLOOKUP('(misc) bot de cod mun'!A209,#REF!,#REF!)))</f>
        <v>0</v>
      </c>
    </row>
    <row r="210" spans="1:3" x14ac:dyDescent="0.25">
      <c r="A210" s="11" t="s">
        <v>851</v>
      </c>
      <c r="B210" s="12" t="s">
        <v>854</v>
      </c>
      <c r="C210" t="e">
        <f>IF(B210="Sim",(_xlfn.XLOOKUP('(misc) bot de cod mun'!A210,#REF!,#REF!)))</f>
        <v>#REF!</v>
      </c>
    </row>
    <row r="211" spans="1:3" x14ac:dyDescent="0.25">
      <c r="A211" s="13" t="s">
        <v>845</v>
      </c>
      <c r="B211" s="14"/>
      <c r="C211" t="b">
        <f>IF(B211="Sim",(_xlfn.XLOOKUP('(misc) bot de cod mun'!A211,#REF!,#REF!)))</f>
        <v>0</v>
      </c>
    </row>
    <row r="212" spans="1:3" x14ac:dyDescent="0.25">
      <c r="A212" s="11" t="s">
        <v>845</v>
      </c>
      <c r="B212" s="15"/>
      <c r="C212" t="b">
        <f>IF(B212="Sim",(_xlfn.XLOOKUP('(misc) bot de cod mun'!A212,#REF!,#REF!)))</f>
        <v>0</v>
      </c>
    </row>
    <row r="213" spans="1:3" x14ac:dyDescent="0.25">
      <c r="A213" s="13" t="s">
        <v>836</v>
      </c>
      <c r="B213" s="14"/>
      <c r="C213" t="b">
        <f>IF(B213="Sim",(_xlfn.XLOOKUP('(misc) bot de cod mun'!A213,#REF!,#REF!)))</f>
        <v>0</v>
      </c>
    </row>
    <row r="214" spans="1:3" x14ac:dyDescent="0.25">
      <c r="A214" s="11" t="s">
        <v>844</v>
      </c>
      <c r="B214" s="15"/>
      <c r="C214" t="b">
        <f>IF(B214="Sim",(_xlfn.XLOOKUP('(misc) bot de cod mun'!A214,#REF!,#REF!)))</f>
        <v>0</v>
      </c>
    </row>
    <row r="215" spans="1:3" x14ac:dyDescent="0.25">
      <c r="A215" s="13" t="s">
        <v>844</v>
      </c>
      <c r="B215" s="14"/>
      <c r="C215" t="b">
        <f>IF(B215="Sim",(_xlfn.XLOOKUP('(misc) bot de cod mun'!A215,#REF!,#REF!)))</f>
        <v>0</v>
      </c>
    </row>
    <row r="216" spans="1:3" x14ac:dyDescent="0.25">
      <c r="A216" s="11" t="s">
        <v>848</v>
      </c>
      <c r="B216" s="15"/>
      <c r="C216" t="b">
        <f>IF(B216="Sim",(_xlfn.XLOOKUP('(misc) bot de cod mun'!A216,#REF!,#REF!)))</f>
        <v>0</v>
      </c>
    </row>
    <row r="217" spans="1:3" x14ac:dyDescent="0.25">
      <c r="A217" s="13" t="s">
        <v>834</v>
      </c>
      <c r="B217" s="12" t="s">
        <v>854</v>
      </c>
      <c r="C217" t="e">
        <f>IF(B217="Sim",(_xlfn.XLOOKUP('(misc) bot de cod mun'!A217,#REF!,#REF!)))</f>
        <v>#REF!</v>
      </c>
    </row>
    <row r="218" spans="1:3" x14ac:dyDescent="0.25">
      <c r="A218" s="11" t="s">
        <v>844</v>
      </c>
      <c r="B218" s="15"/>
      <c r="C218" t="b">
        <f>IF(B218="Sim",(_xlfn.XLOOKUP('(misc) bot de cod mun'!A218,#REF!,#REF!)))</f>
        <v>0</v>
      </c>
    </row>
    <row r="219" spans="1:3" x14ac:dyDescent="0.25">
      <c r="A219" s="13" t="s">
        <v>838</v>
      </c>
      <c r="B219" s="14"/>
      <c r="C219" t="b">
        <f>IF(B219="Sim",(_xlfn.XLOOKUP('(misc) bot de cod mun'!A219,#REF!,#REF!)))</f>
        <v>0</v>
      </c>
    </row>
    <row r="220" spans="1:3" x14ac:dyDescent="0.25">
      <c r="A220" s="11" t="s">
        <v>842</v>
      </c>
      <c r="B220" s="15"/>
      <c r="C220" t="b">
        <f>IF(B220="Sim",(_xlfn.XLOOKUP('(misc) bot de cod mun'!A220,#REF!,#REF!)))</f>
        <v>0</v>
      </c>
    </row>
    <row r="221" spans="1:3" ht="60" x14ac:dyDescent="0.25">
      <c r="A221" s="16"/>
      <c r="B221" s="17">
        <f>COUNTIF(B4:B220,"Sim")</f>
        <v>46</v>
      </c>
      <c r="C221" t="b">
        <f>IF(B221="Sim",(_xlfn.XLOOKUP('(misc) bot de cod mun'!A221,#REF!,#REF!)))</f>
        <v>0</v>
      </c>
    </row>
  </sheetData>
  <autoFilter ref="A3:C221" xr:uid="{CF0D5AF8-10EE-45D2-B964-ADDE4751DEE4}"/>
  <mergeCells count="1">
    <mergeCell ref="O2:T17"/>
  </mergeCells>
  <dataValidations count="1">
    <dataValidation type="list" allowBlank="1" showInputMessage="1" showErrorMessage="1" sqref="B4:B220" xr:uid="{5A1B33BC-7C98-4B41-A310-987F322BD1D2}">
      <formula1>"Sim,Não"</formula1>
    </dataValidation>
  </dataValidations>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Diretriz</vt:lpstr>
      <vt:lpstr>Objetivo</vt:lpstr>
      <vt:lpstr>Meta</vt:lpstr>
      <vt:lpstr>Atividade</vt:lpstr>
      <vt:lpstr>(misc) bot de cod mun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João Eduardo Coutinho Melo</dc:creator>
  <cp:lastModifiedBy>Assessoria de Planejamento</cp:lastModifiedBy>
  <dcterms:created xsi:type="dcterms:W3CDTF">2024-03-11T19:52:58Z</dcterms:created>
  <dcterms:modified xsi:type="dcterms:W3CDTF">2026-06-10T18:55:24Z</dcterms:modified>
</cp:coreProperties>
</file>